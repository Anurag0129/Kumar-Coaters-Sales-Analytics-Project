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codeName="ThisWorkbook"/>
  <xr:revisionPtr revIDLastSave="0" documentId="13_ncr:1_{8120C2A5-EF98-4135-B5E8-014FA2925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Invoice details" sheetId="4" r:id="rId2"/>
    <sheet name="Monthly Data pivot" sheetId="11" r:id="rId3"/>
    <sheet name="Sheet2" sheetId="23" r:id="rId4"/>
    <sheet name="Sales Data" sheetId="7" r:id="rId5"/>
    <sheet name="Sheet1" sheetId="22" r:id="rId6"/>
    <sheet name="GPT cache" sheetId="8" state="veryHidden" r:id="rId7"/>
  </sheets>
  <definedNames>
    <definedName name="CompanyName">Invoice!$B$1</definedName>
    <definedName name="CustomerLookup">#REF!</definedName>
    <definedName name="Invoice_No">#REF!</definedName>
    <definedName name="InvoiceNoDetails">"InvoiceDetails[Invoice No]"</definedName>
    <definedName name="_xlnm.Print_Titles" localSheetId="1">'Invoice details'!$1:$3</definedName>
    <definedName name="_xlnm.Print_Titles" localSheetId="4">'Sales Data'!$2:$2</definedName>
    <definedName name="rngInvoice">Invoice!$G$6</definedName>
  </definedNames>
  <calcPr calcId="191029" concurrentCalc="0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1" i="22" l="1"/>
  <c r="F690" i="22"/>
  <c r="F689" i="22"/>
  <c r="F688" i="22"/>
  <c r="F687" i="22"/>
  <c r="F686" i="22"/>
  <c r="F685" i="22"/>
  <c r="F684" i="22"/>
  <c r="F683" i="22"/>
  <c r="F682" i="22"/>
  <c r="F681" i="22"/>
  <c r="F680" i="22"/>
  <c r="F679" i="22"/>
  <c r="F678" i="22"/>
  <c r="F677" i="22"/>
  <c r="F676" i="22"/>
  <c r="F675" i="22"/>
  <c r="F674" i="22"/>
  <c r="F673" i="22"/>
  <c r="F672" i="22"/>
  <c r="F671" i="22"/>
  <c r="F670" i="22"/>
  <c r="F669" i="22"/>
  <c r="F668" i="22"/>
  <c r="F667" i="22"/>
  <c r="F666" i="22"/>
  <c r="F665" i="22"/>
  <c r="F664" i="22"/>
  <c r="F663" i="22"/>
  <c r="F662" i="22"/>
  <c r="F661" i="22"/>
  <c r="F660" i="22"/>
  <c r="F659" i="22"/>
  <c r="F658" i="22"/>
  <c r="F657" i="22"/>
  <c r="F656" i="22"/>
  <c r="F655" i="22"/>
  <c r="F654" i="22"/>
  <c r="F653" i="22"/>
  <c r="F652" i="22"/>
  <c r="F651" i="22"/>
  <c r="F650" i="22"/>
  <c r="F649" i="22"/>
  <c r="F648" i="22"/>
  <c r="F647" i="22"/>
  <c r="F646" i="22"/>
  <c r="F645" i="22"/>
  <c r="F644" i="22"/>
  <c r="F643" i="22"/>
  <c r="F642" i="22"/>
  <c r="F641" i="22"/>
  <c r="F640" i="22"/>
  <c r="F639" i="22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D40" i="4"/>
  <c r="B21" i="1" a="1"/>
  <c r="B21" i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4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B3" i="1"/>
  <c r="G29" i="1"/>
  <c r="G30" i="1"/>
  <c r="B25" i="1" a="1"/>
  <c r="B25" i="1"/>
  <c r="B24" i="1" a="1"/>
  <c r="B24" i="1"/>
  <c r="B23" i="1" a="1"/>
  <c r="B23" i="1"/>
  <c r="B22" i="1" a="1"/>
  <c r="B22" i="1"/>
  <c r="B20" i="1" a="1"/>
  <c r="B20" i="1"/>
  <c r="B19" i="1" a="1"/>
  <c r="B19" i="1"/>
  <c r="B18" i="1" a="1"/>
  <c r="B18" i="1"/>
  <c r="B17" i="1" a="1"/>
  <c r="B17" i="1"/>
  <c r="B16" i="1" a="1"/>
  <c r="B16" i="1"/>
  <c r="B15" i="1" a="1"/>
  <c r="B15" i="1"/>
  <c r="B14" i="1" a="1"/>
  <c r="B14" i="1"/>
  <c r="B13" i="1" a="1"/>
  <c r="B13" i="1"/>
  <c r="B12" i="1" a="1"/>
  <c r="B12" i="1"/>
  <c r="B11" i="1" a="1"/>
  <c r="B11" i="1"/>
  <c r="F25" i="1" a="1"/>
  <c r="F25" i="1"/>
  <c r="F24" i="1" a="1"/>
  <c r="F24" i="1"/>
  <c r="F23" i="1" a="1"/>
  <c r="F23" i="1"/>
  <c r="F22" i="1" a="1"/>
  <c r="F22" i="1"/>
  <c r="F21" i="1" a="1"/>
  <c r="F21" i="1"/>
  <c r="F20" i="1" a="1"/>
  <c r="F20" i="1"/>
  <c r="F19" i="1" a="1"/>
  <c r="F19" i="1"/>
  <c r="F18" i="1" a="1"/>
  <c r="F18" i="1"/>
  <c r="F17" i="1" a="1"/>
  <c r="F17" i="1"/>
  <c r="F16" i="1" a="1"/>
  <c r="F16" i="1"/>
  <c r="F15" i="1" a="1"/>
  <c r="F15" i="1"/>
  <c r="F14" i="1" a="1"/>
  <c r="F14" i="1"/>
  <c r="F13" i="1" a="1"/>
  <c r="F13" i="1"/>
  <c r="F12" i="1" a="1"/>
  <c r="F12" i="1"/>
  <c r="E25" i="1" a="1"/>
  <c r="E25" i="1"/>
  <c r="E24" i="1" a="1"/>
  <c r="E24" i="1"/>
  <c r="E23" i="1" a="1"/>
  <c r="E23" i="1"/>
  <c r="E22" i="1" a="1"/>
  <c r="E22" i="1"/>
  <c r="E21" i="1" a="1"/>
  <c r="E21" i="1"/>
  <c r="E20" i="1" a="1"/>
  <c r="E20" i="1"/>
  <c r="E19" i="1" a="1"/>
  <c r="E19" i="1"/>
  <c r="E18" i="1" a="1"/>
  <c r="E18" i="1"/>
  <c r="E17" i="1" a="1"/>
  <c r="E17" i="1"/>
  <c r="E16" i="1" a="1"/>
  <c r="E16" i="1"/>
  <c r="E15" i="1" a="1"/>
  <c r="E15" i="1"/>
  <c r="E14" i="1" a="1"/>
  <c r="E14" i="1"/>
  <c r="E13" i="1" a="1"/>
  <c r="E13" i="1"/>
  <c r="E12" i="1" a="1"/>
  <c r="E12" i="1"/>
  <c r="C25" i="1" a="1"/>
  <c r="C25" i="1"/>
  <c r="C24" i="1" a="1"/>
  <c r="C24" i="1"/>
  <c r="C23" i="1" a="1"/>
  <c r="C23" i="1"/>
  <c r="C22" i="1" a="1"/>
  <c r="C22" i="1"/>
  <c r="C21" i="1" a="1"/>
  <c r="C21" i="1"/>
  <c r="C20" i="1" a="1"/>
  <c r="C20" i="1"/>
  <c r="C19" i="1" a="1"/>
  <c r="C19" i="1"/>
  <c r="C18" i="1" a="1"/>
  <c r="C18" i="1"/>
  <c r="C17" i="1" a="1"/>
  <c r="C17" i="1"/>
  <c r="C16" i="1" a="1"/>
  <c r="C16" i="1"/>
  <c r="C15" i="1" a="1"/>
  <c r="C15" i="1"/>
  <c r="C14" i="1" a="1"/>
  <c r="C14" i="1"/>
  <c r="C13" i="1" a="1"/>
  <c r="C13" i="1"/>
  <c r="C12" i="1" a="1"/>
  <c r="C12" i="1"/>
  <c r="B30" i="1"/>
  <c r="H28" i="4"/>
  <c r="G27" i="1"/>
  <c r="H31" i="4"/>
  <c r="H32" i="4"/>
  <c r="H33" i="4"/>
  <c r="H34" i="4"/>
  <c r="H35" i="4"/>
  <c r="H36" i="4"/>
  <c r="H37" i="4"/>
  <c r="H38" i="4"/>
  <c r="H39" i="4"/>
  <c r="H40" i="4"/>
  <c r="H29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30" i="4"/>
  <c r="G25" i="1"/>
  <c r="G16" i="1"/>
  <c r="G14" i="1"/>
  <c r="G12" i="1"/>
  <c r="G23" i="1"/>
  <c r="G21" i="1"/>
  <c r="G17" i="1"/>
  <c r="G15" i="1"/>
  <c r="G13" i="1"/>
  <c r="G20" i="1"/>
  <c r="G19" i="1"/>
  <c r="G18" i="1"/>
  <c r="G24" i="1"/>
  <c r="G22" i="1"/>
  <c r="F11" i="1" a="1"/>
  <c r="F11" i="1"/>
  <c r="E11" i="1" a="1"/>
  <c r="E11" i="1"/>
  <c r="C11" i="1" a="1"/>
  <c r="C11" i="1"/>
  <c r="G11" i="1"/>
  <c r="G26" i="1"/>
  <c r="G28" i="1"/>
  <c r="G31" i="1"/>
</calcChain>
</file>

<file path=xl/sharedStrings.xml><?xml version="1.0" encoding="utf-8"?>
<sst xmlns="http://schemas.openxmlformats.org/spreadsheetml/2006/main" count="6679" uniqueCount="1708">
  <si>
    <t>TOTAL</t>
  </si>
  <si>
    <t>Description</t>
  </si>
  <si>
    <t>Bill To:</t>
  </si>
  <si>
    <t>Address:</t>
  </si>
  <si>
    <t>Invoice Date:</t>
  </si>
  <si>
    <t>Deposit Received</t>
  </si>
  <si>
    <t>Invoice Subtotal</t>
  </si>
  <si>
    <t>Tax Rate</t>
  </si>
  <si>
    <t>Sales Tax</t>
  </si>
  <si>
    <t>Other</t>
  </si>
  <si>
    <t>3-456-1</t>
  </si>
  <si>
    <t>Qty</t>
  </si>
  <si>
    <t>Price</t>
  </si>
  <si>
    <t>Discount</t>
  </si>
  <si>
    <t>Unit Price</t>
  </si>
  <si>
    <t>Item #</t>
  </si>
  <si>
    <t>Invoice #</t>
  </si>
  <si>
    <t>Total</t>
  </si>
  <si>
    <t>Invoice #:</t>
  </si>
  <si>
    <t>3-456-2</t>
  </si>
  <si>
    <t>Unit price</t>
  </si>
  <si>
    <t xml:space="preserve">Email: </t>
  </si>
  <si>
    <t>Website:</t>
  </si>
  <si>
    <t>Invoice Details</t>
  </si>
  <si>
    <t xml:space="preserve">Phone: </t>
  </si>
  <si>
    <t xml:space="preserve">Fax: </t>
  </si>
  <si>
    <t>Email:</t>
  </si>
  <si>
    <t>Kumar Coaters</t>
  </si>
  <si>
    <t xml:space="preserve"> </t>
  </si>
  <si>
    <t>Date</t>
  </si>
  <si>
    <t>Invoice Number</t>
  </si>
  <si>
    <t>Customer</t>
  </si>
  <si>
    <t>Part Number</t>
  </si>
  <si>
    <t>Quantity</t>
  </si>
  <si>
    <t>Sales Person</t>
  </si>
  <si>
    <t>Region</t>
  </si>
  <si>
    <t>Total due in 30 days. Overdue accounts subject to a service charge of 5% per month.</t>
  </si>
  <si>
    <t xml:space="preserve">Gat No.123, Near Sadguru Market, Murhe Wasti, Moi Road, 
</t>
  </si>
  <si>
    <t>Kuruli, Chakan, Pune -410501</t>
  </si>
  <si>
    <t>************</t>
  </si>
  <si>
    <t>********************</t>
  </si>
  <si>
    <t>https://kumarcoaters.com/</t>
  </si>
  <si>
    <t>*****************</t>
  </si>
  <si>
    <t>******************</t>
  </si>
  <si>
    <t>**************************</t>
  </si>
  <si>
    <t>*********</t>
  </si>
  <si>
    <t>*************</t>
  </si>
  <si>
    <t>Service</t>
  </si>
  <si>
    <t>{"hash":"22021e4335577cd12061edc6d701bf91bc6384ea2ada1adb256ca17c8143cad4","version":1,"value":"[[\"Scoop Up Happiness!\"]]"}</t>
  </si>
  <si>
    <t>{"hash":"f55e2529706a6af54911d249ab4f572f705b852b083ee19899e20ae18804410d","version":1,"value":"[[\"=IF(ISNUMBER(SEARCH(\\\"ED\\\", E1)), \\\"ED\\\", \\\"PC\\\")\"]]"}</t>
  </si>
  <si>
    <t>ED-IND-BF94R-96</t>
  </si>
  <si>
    <t>PC-IND-ES58E-77</t>
  </si>
  <si>
    <t>ED-IND-PW28Y-87</t>
  </si>
  <si>
    <t>ED-IND-FH42M-31</t>
  </si>
  <si>
    <t>ED-IND-DG79M-42</t>
  </si>
  <si>
    <t>ED-IND-UE60O-04</t>
  </si>
  <si>
    <t>ED-IND-LN87Z-82</t>
  </si>
  <si>
    <t>ED-IND-FF18D-36</t>
  </si>
  <si>
    <t>ED-IND-MV42W-01</t>
  </si>
  <si>
    <t>ED-IND-NU37O-73</t>
  </si>
  <si>
    <t>ED-IND-XH20D-48</t>
  </si>
  <si>
    <t>PC-IND-QG66C-31</t>
  </si>
  <si>
    <t>PC-IND-MT94P-31</t>
  </si>
  <si>
    <t>ED-IND-PU51D-51</t>
  </si>
  <si>
    <t>ED-IND-RA85P-82</t>
  </si>
  <si>
    <t>PC-IND-PR64F-72</t>
  </si>
  <si>
    <t>ED-IND-AI38B-83</t>
  </si>
  <si>
    <t>ED-IND-CA22V-33</t>
  </si>
  <si>
    <t>ED-IND-FO54G-12</t>
  </si>
  <si>
    <t>ED-IND-ML26H-86</t>
  </si>
  <si>
    <t>ED-IND-FX95F-95</t>
  </si>
  <si>
    <t>PC-IND-PD38L-17</t>
  </si>
  <si>
    <t>ED-IND-HZ82F-56</t>
  </si>
  <si>
    <t>ED-IND-TS60M-97</t>
  </si>
  <si>
    <t>ED-IND-JV82I-92</t>
  </si>
  <si>
    <t>PC-IND-GB95C-85</t>
  </si>
  <si>
    <t>ED-IND-XN73Y-21</t>
  </si>
  <si>
    <t>ED-IND-BU40X-81</t>
  </si>
  <si>
    <t>ED-IND-TV20R-31</t>
  </si>
  <si>
    <t>ED-IND-UU36L-66</t>
  </si>
  <si>
    <t>ED-IND-FE78W-05</t>
  </si>
  <si>
    <t>ED-IND-KQ16R-25</t>
  </si>
  <si>
    <t>ED-IND-JK94K-77</t>
  </si>
  <si>
    <t>ED-IND-CR92V-20</t>
  </si>
  <si>
    <t>PC-IND-XL39M-09</t>
  </si>
  <si>
    <t>ED-IND-WI83S-42</t>
  </si>
  <si>
    <t>ED-IND-ZU15L-03</t>
  </si>
  <si>
    <t>ED-IND-WW79U-71</t>
  </si>
  <si>
    <t>ED-IND-ID66P-47</t>
  </si>
  <si>
    <t>ED-IND-IZ39P-50</t>
  </si>
  <si>
    <t>ED-IND-ZD11V-50</t>
  </si>
  <si>
    <t>ED-IND-CA47Q-81</t>
  </si>
  <si>
    <t>ED-IND-NI30Z-49</t>
  </si>
  <si>
    <t>PC-IND-VT75H-21</t>
  </si>
  <si>
    <t>ED-IND-MS12H-50</t>
  </si>
  <si>
    <t>ED-IND-QK22X-55</t>
  </si>
  <si>
    <t>PC-IND-CL12F-19</t>
  </si>
  <si>
    <t>PC-IND-NP93B-18</t>
  </si>
  <si>
    <t>PC-IND-IR21R-23</t>
  </si>
  <si>
    <t>ED-IND-XW80E-72</t>
  </si>
  <si>
    <t>ED-IND-YJ47L-10</t>
  </si>
  <si>
    <t>ED-IND-EP58M-95</t>
  </si>
  <si>
    <t>ED-IND-FS18J-73</t>
  </si>
  <si>
    <t>ED-IND-FA45C-02</t>
  </si>
  <si>
    <t>ED-IND-CC57K-09</t>
  </si>
  <si>
    <t>ED-IND-FX72F-78</t>
  </si>
  <si>
    <t>ED-IND-KI27I-06</t>
  </si>
  <si>
    <t>ED-IND-YO81B-36</t>
  </si>
  <si>
    <t>ED-IND-FQ15K-66</t>
  </si>
  <si>
    <t>ED-IND-KJ36Y-33</t>
  </si>
  <si>
    <t>ED-IND-MB85F-81</t>
  </si>
  <si>
    <t>ED-IND-KP34Q-49</t>
  </si>
  <si>
    <t>ED-IND-UO35Y-84</t>
  </si>
  <si>
    <t>ED-IND-WC75U-48</t>
  </si>
  <si>
    <t>ED-IND-VI66F-85</t>
  </si>
  <si>
    <t>ED-IND-YC36B-91</t>
  </si>
  <si>
    <t>ED-IND-OY60I-98</t>
  </si>
  <si>
    <t>ED-IND-XG60R-26</t>
  </si>
  <si>
    <t>ED-IND-CS52R-24</t>
  </si>
  <si>
    <t>PC-IND-NV48C-82</t>
  </si>
  <si>
    <t>ED-IND-NX28D-24</t>
  </si>
  <si>
    <t>ED-IND-CH77P-15</t>
  </si>
  <si>
    <t>PC-IND-UH37Z-41</t>
  </si>
  <si>
    <t>ED-IND-ZO41P-67</t>
  </si>
  <si>
    <t>ED-IND-GX35M-86</t>
  </si>
  <si>
    <t>ED-IND-OU56N-39</t>
  </si>
  <si>
    <t>ED-IND-UI23S-73</t>
  </si>
  <si>
    <t>PC-IND-UM23Y-80</t>
  </si>
  <si>
    <t>ED-IND-HV35O-07</t>
  </si>
  <si>
    <t>ED-IND-EA54N-59</t>
  </si>
  <si>
    <t>ED-IND-OF90U-44</t>
  </si>
  <si>
    <t>ED-IND-CG97S-91</t>
  </si>
  <si>
    <t>PC-IND-XP23F-58</t>
  </si>
  <si>
    <t>ED-IND-MB35F-33</t>
  </si>
  <si>
    <t>PC-IND-ER23B-32</t>
  </si>
  <si>
    <t>ED-IND-TK21X-49</t>
  </si>
  <si>
    <t>ED-IND-MD71Z-33</t>
  </si>
  <si>
    <t>ED-IND-RE23I-36</t>
  </si>
  <si>
    <t>ED-IND-SO10G-98</t>
  </si>
  <si>
    <t>ED-IND-OT97S-95</t>
  </si>
  <si>
    <t>ED-IND-VE46H-87</t>
  </si>
  <si>
    <t>ED-IND-WT93J-16</t>
  </si>
  <si>
    <t>ED-IND-XG21Z-52</t>
  </si>
  <si>
    <t>ED-IND-RV23E-35</t>
  </si>
  <si>
    <t>PC-IND-LZ75M-90</t>
  </si>
  <si>
    <t>ED-IND-UQ77Y-73</t>
  </si>
  <si>
    <t>ED-IND-VZ33V-78</t>
  </si>
  <si>
    <t>ED-IND-KP29U-64</t>
  </si>
  <si>
    <t>ED-IND-VL64H-61</t>
  </si>
  <si>
    <t>ED-IND-GP92Y-40</t>
  </si>
  <si>
    <t>ED-IND-TL47X-97</t>
  </si>
  <si>
    <t>ED-IND-II58Q-32</t>
  </si>
  <si>
    <t>ED-IND-ER35R-77</t>
  </si>
  <si>
    <t>ED-IND-PH61H-24</t>
  </si>
  <si>
    <t>ED-IND-IY70N-61</t>
  </si>
  <si>
    <t>ED-IND-HE74P-83</t>
  </si>
  <si>
    <t>PC-IND-VW41Z-97</t>
  </si>
  <si>
    <t>ED-IND-UT28M-18</t>
  </si>
  <si>
    <t>PC-IND-XN35M-02</t>
  </si>
  <si>
    <t>ED-IND-UL71Z-17</t>
  </si>
  <si>
    <t>ED-IND-AA26A-76</t>
  </si>
  <si>
    <t>ED-IND-MJ79D-93</t>
  </si>
  <si>
    <t>ED-IND-SF95H-66</t>
  </si>
  <si>
    <t>ED-IND-MQ12S-87</t>
  </si>
  <si>
    <t>PC-IND-IU84Q-90</t>
  </si>
  <si>
    <t>ED-IND-RT72V-13</t>
  </si>
  <si>
    <t>PC-IND-WK47S-81</t>
  </si>
  <si>
    <t>PC-IND-TW63H-80</t>
  </si>
  <si>
    <t>ED-IND-BR76A-77</t>
  </si>
  <si>
    <t>ED-IND-MM78P-45</t>
  </si>
  <si>
    <t>PC-IND-DG52B-54</t>
  </si>
  <si>
    <t>PC-IND-MV76M-83</t>
  </si>
  <si>
    <t>ED-IND-FP44R-79</t>
  </si>
  <si>
    <t>PC-IND-DM64N-37</t>
  </si>
  <si>
    <t>ED-IND-XR61C-74</t>
  </si>
  <si>
    <t>ED-IND-CB30K-49</t>
  </si>
  <si>
    <t>PC-IND-EO77C-98</t>
  </si>
  <si>
    <t>ED-IND-VV87X-21</t>
  </si>
  <si>
    <t>PC-IND-GW27A-65</t>
  </si>
  <si>
    <t>ED-IND-XN87L-73</t>
  </si>
  <si>
    <t>ED-IND-FB17Y-80</t>
  </si>
  <si>
    <t>ED-IND-OZ92E-17</t>
  </si>
  <si>
    <t>PC-IND-AR30L-03</t>
  </si>
  <si>
    <t>ED-IND-DY20U-42</t>
  </si>
  <si>
    <t>ED-IND-ZU27L-78</t>
  </si>
  <si>
    <t>PC-IND-AA95K-32</t>
  </si>
  <si>
    <t>PC-IND-YU86O-53</t>
  </si>
  <si>
    <t>ED-IND-ID18M-77</t>
  </si>
  <si>
    <t>PC-IND-VU50J-77</t>
  </si>
  <si>
    <t>PC-IND-VX87Y-93</t>
  </si>
  <si>
    <t>ED-IND-DJ47L-80</t>
  </si>
  <si>
    <t>ED-IND-XP42E-43</t>
  </si>
  <si>
    <t>PC-IND-IU42B-45</t>
  </si>
  <si>
    <t>ED-IND-ZQ39I-19</t>
  </si>
  <si>
    <t>ED-IND-BB24J-39</t>
  </si>
  <si>
    <t>PC-IND-JF71I-05</t>
  </si>
  <si>
    <t>ED-IND-ZB28A-23</t>
  </si>
  <si>
    <t>ED-IND-FD60O-17</t>
  </si>
  <si>
    <t>ED-IND-JP69R-33</t>
  </si>
  <si>
    <t>PC-IND-JW93B-08</t>
  </si>
  <si>
    <t>ED-IND-HV15T-18</t>
  </si>
  <si>
    <t>PC-IND-CX62J-79</t>
  </si>
  <si>
    <t>PC-IND-RL65M-40</t>
  </si>
  <si>
    <t>ED-IND-HW16X-13</t>
  </si>
  <si>
    <t>ED-IND-HH29Q-75</t>
  </si>
  <si>
    <t>PC-IND-QE88W-96</t>
  </si>
  <si>
    <t>PC-IND-RX73P-03</t>
  </si>
  <si>
    <t>ED-IND-MB39T-59</t>
  </si>
  <si>
    <t>ED-IND-BW38U-47</t>
  </si>
  <si>
    <t>PC-IND-EO84I-36</t>
  </si>
  <si>
    <t>ED-IND-WL61O-84</t>
  </si>
  <si>
    <t>ED-IND-KC36K-52</t>
  </si>
  <si>
    <t>ED-IND-WW62W-14</t>
  </si>
  <si>
    <t>ED-IND-QH29J-65</t>
  </si>
  <si>
    <t>PC-IND-RM93X-65</t>
  </si>
  <si>
    <t>ED-IND-HM49Y-33</t>
  </si>
  <si>
    <t>ED-IND-DQ83D-43</t>
  </si>
  <si>
    <t>ED-IND-XW30O-73</t>
  </si>
  <si>
    <t>ED-IND-WD72V-49</t>
  </si>
  <si>
    <t>ED-IND-UQ39G-27</t>
  </si>
  <si>
    <t>PC-IND-AJ59T-02</t>
  </si>
  <si>
    <t>ED-IND-HF61S-91</t>
  </si>
  <si>
    <t>ED-IND-DC63G-90</t>
  </si>
  <si>
    <t>PC-IND-FW87C-92</t>
  </si>
  <si>
    <t>ED-IND-ZW82C-29</t>
  </si>
  <si>
    <t>PC-IND-TX99P-95</t>
  </si>
  <si>
    <t>ED-IND-MH15V-88</t>
  </si>
  <si>
    <t>ED-IND-XB68E-28</t>
  </si>
  <si>
    <t>ED-IND-NK30D-60</t>
  </si>
  <si>
    <t>ED-IND-KI63V-50</t>
  </si>
  <si>
    <t>PC-IND-ZM37R-60</t>
  </si>
  <si>
    <t>ED-IND-XO41R-64</t>
  </si>
  <si>
    <t>ED-IND-BH42D-63</t>
  </si>
  <si>
    <t>PC-IND-KA17E-84</t>
  </si>
  <si>
    <t>ED-IND-TT97R-70</t>
  </si>
  <si>
    <t>ED-IND-VF46R-52</t>
  </si>
  <si>
    <t>PC-IND-IL17H-44</t>
  </si>
  <si>
    <t>ED-IND-LC19X-47</t>
  </si>
  <si>
    <t>PC-IND-MA24L-60</t>
  </si>
  <si>
    <t>PC-IND-SI33P-87</t>
  </si>
  <si>
    <t>ED-IND-BO38Z-49</t>
  </si>
  <si>
    <t>ED-IND-QB49W-20</t>
  </si>
  <si>
    <t>ED-IND-BK63G-08</t>
  </si>
  <si>
    <t>ED-IND-TY46N-28</t>
  </si>
  <si>
    <t>ED-IND-RA31A-95</t>
  </si>
  <si>
    <t>PC-IND-GV11T-76</t>
  </si>
  <si>
    <t>ED-IND-VN77J-66</t>
  </si>
  <si>
    <t>ED-IND-YI53X-23</t>
  </si>
  <si>
    <t>PC-IND-IB86M-15</t>
  </si>
  <si>
    <t>PC-IND-LT34F-30</t>
  </si>
  <si>
    <t>ED-IND-QP54P-23</t>
  </si>
  <si>
    <t>ED-IND-GL26J-02</t>
  </si>
  <si>
    <t>ED-IND-II82H-02</t>
  </si>
  <si>
    <t>ED-IND-OK83P-96</t>
  </si>
  <si>
    <t>ED-IND-QA83P-49</t>
  </si>
  <si>
    <t>PC-IND-IS90G-67</t>
  </si>
  <si>
    <t>PC-IND-YF92L-53</t>
  </si>
  <si>
    <t>ED-IND-EB30X-70</t>
  </si>
  <si>
    <t>ED-IND-XY85B-17</t>
  </si>
  <si>
    <t>ED-IND-KK62A-63</t>
  </si>
  <si>
    <t>PC-IND-SX24U-14</t>
  </si>
  <si>
    <t>ED-IND-VO14D-02</t>
  </si>
  <si>
    <t>ED-IND-WO12H-98</t>
  </si>
  <si>
    <t>ED-IND-WV90C-43</t>
  </si>
  <si>
    <t>ED-IND-ZL12A-22</t>
  </si>
  <si>
    <t>PC-IND-XJ83X-20</t>
  </si>
  <si>
    <t>ED-IND-XT19E-29</t>
  </si>
  <si>
    <t>ED-IND-KG12I-57</t>
  </si>
  <si>
    <t>ED-IND-VE40T-58</t>
  </si>
  <si>
    <t>ED-IND-RW81D-76</t>
  </si>
  <si>
    <t>ED-IND-ZN38Z-01</t>
  </si>
  <si>
    <t>ED-IND-BT28W-35</t>
  </si>
  <si>
    <t>PC-IND-ON44Z-20</t>
  </si>
  <si>
    <t>ED-IND-OF48R-98</t>
  </si>
  <si>
    <t>ED-IND-HW89F-44</t>
  </si>
  <si>
    <t>ED-IND-ZU10S-06</t>
  </si>
  <si>
    <t>ED-IND-GN77F-40</t>
  </si>
  <si>
    <t>ED-IND-TD97U-39</t>
  </si>
  <si>
    <t>ED-IND-XD69N-70</t>
  </si>
  <si>
    <t>ED-IND-JG54J-82</t>
  </si>
  <si>
    <t>ED-IND-ND36N-96</t>
  </si>
  <si>
    <t>ED-IND-UC74O-23</t>
  </si>
  <si>
    <t>ED-IND-FO35X-06</t>
  </si>
  <si>
    <t>ED-IND-XV60W-87</t>
  </si>
  <si>
    <t>ED-IND-FM90Y-16</t>
  </si>
  <si>
    <t>ED-IND-JQ42J-50</t>
  </si>
  <si>
    <t>ED-IND-DZ46J-31</t>
  </si>
  <si>
    <t>ED-IND-TQ72U-99</t>
  </si>
  <si>
    <t>PC-IND-ZT79Y-03</t>
  </si>
  <si>
    <t>ED-IND-AT97L-47</t>
  </si>
  <si>
    <t>ED-IND-PC13L-22</t>
  </si>
  <si>
    <t>ED-IND-KL69J-45</t>
  </si>
  <si>
    <t>PC-IND-AD18N-05</t>
  </si>
  <si>
    <t>PC-IND-QB21C-21</t>
  </si>
  <si>
    <t>ED-IND-KL45I-89</t>
  </si>
  <si>
    <t>ED-IND-OP33V-15</t>
  </si>
  <si>
    <t>PC-IND-QG82K-57</t>
  </si>
  <si>
    <t>ED-IND-FC50T-31</t>
  </si>
  <si>
    <t>ED-IND-JJ75G-76</t>
  </si>
  <si>
    <t>ED-IND-PZ78T-53</t>
  </si>
  <si>
    <t>ED-IND-VW20N-30</t>
  </si>
  <si>
    <t>ED-IND-ZM31I-59</t>
  </si>
  <si>
    <t>ED-IND-UA22X-74</t>
  </si>
  <si>
    <t>PC-IND-KY87L-07</t>
  </si>
  <si>
    <t>ED-IND-RM89D-52</t>
  </si>
  <si>
    <t>ED-IND-KH95O-32</t>
  </si>
  <si>
    <t>PC-IND-JD80O-86</t>
  </si>
  <si>
    <t>PC-IND-GO71A-01</t>
  </si>
  <si>
    <t>ED-IND-KE55U-98</t>
  </si>
  <si>
    <t>PC-IND-EO59B-07</t>
  </si>
  <si>
    <t>ED-IND-SE20G-38</t>
  </si>
  <si>
    <t>ED-IND-XX51X-37</t>
  </si>
  <si>
    <t>ED-IND-KH38D-10</t>
  </si>
  <si>
    <t>ED-IND-BW38A-23</t>
  </si>
  <si>
    <t>PC-IND-BH90B-07</t>
  </si>
  <si>
    <t>ED-IND-KC67S-50</t>
  </si>
  <si>
    <t>PC-IND-CF23H-34</t>
  </si>
  <si>
    <t>PC-IND-ZU91Z-29</t>
  </si>
  <si>
    <t>ED-IND-TX35U-55</t>
  </si>
  <si>
    <t>ED-IND-BU16I-11</t>
  </si>
  <si>
    <t>ED-IND-RH90N-16</t>
  </si>
  <si>
    <t>ED-IND-UY66U-75</t>
  </si>
  <si>
    <t>PC-IND-FK86J-42</t>
  </si>
  <si>
    <t>ED-IND-OE79N-66</t>
  </si>
  <si>
    <t>PC-IND-RK14B-33</t>
  </si>
  <si>
    <t>ED-IND-VV69R-22</t>
  </si>
  <si>
    <t>PC-IND-VL90Y-45</t>
  </si>
  <si>
    <t>ED-IND-KY84S-06</t>
  </si>
  <si>
    <t>ED-IND-WA87V-51</t>
  </si>
  <si>
    <t>ED-IND-HX55K-25</t>
  </si>
  <si>
    <t>ED-IND-LU13K-24</t>
  </si>
  <si>
    <t>ED-IND-ZR78S-06</t>
  </si>
  <si>
    <t>ED-IND-JX35V-88</t>
  </si>
  <si>
    <t>ED-IND-MP51S-65</t>
  </si>
  <si>
    <t>ED-IND-AX46Y-39</t>
  </si>
  <si>
    <t>ED-IND-GT43D-43</t>
  </si>
  <si>
    <t>ED-IND-DZ72O-24</t>
  </si>
  <si>
    <t>ED-IND-NC28A-22</t>
  </si>
  <si>
    <t>ED-IND-NU27W-41</t>
  </si>
  <si>
    <t>ED-IND-UP56R-45</t>
  </si>
  <si>
    <t>PC-IND-NT33B-90</t>
  </si>
  <si>
    <t>ED-IND-SJ64X-74</t>
  </si>
  <si>
    <t>ED-IND-GD34A-36</t>
  </si>
  <si>
    <t>ED-IND-ND37Z-68</t>
  </si>
  <si>
    <t>PC-IND-QA81U-76</t>
  </si>
  <si>
    <t>ED-IND-LJ75L-66</t>
  </si>
  <si>
    <t>ED-IND-XR32Q-32</t>
  </si>
  <si>
    <t>ED-IND-SX40U-51</t>
  </si>
  <si>
    <t>ED-IND-CY37U-91</t>
  </si>
  <si>
    <t>ED-IND-YX37B-03</t>
  </si>
  <si>
    <t>PC-IND-ME94U-22</t>
  </si>
  <si>
    <t>ED-IND-UE12D-32</t>
  </si>
  <si>
    <t>ED-IND-MZ10L-61</t>
  </si>
  <si>
    <t>ED-IND-TX78C-81</t>
  </si>
  <si>
    <t>PC-IND-ZG78T-96</t>
  </si>
  <si>
    <t>ED-IND-PE20T-40</t>
  </si>
  <si>
    <t>ED-IND-QK15A-62</t>
  </si>
  <si>
    <t>ED-IND-DA63I-93</t>
  </si>
  <si>
    <t>ED-IND-VJ60Y-47</t>
  </si>
  <si>
    <t>PC-IND-PD19T-75</t>
  </si>
  <si>
    <t>ED-IND-QS47A-83</t>
  </si>
  <si>
    <t>ED-IND-EI29N-19</t>
  </si>
  <si>
    <t>PC-IND-TG24Q-94</t>
  </si>
  <si>
    <t>ED-IND-TO91Y-18</t>
  </si>
  <si>
    <t>ED-IND-SM51J-71</t>
  </si>
  <si>
    <t>ED-IND-ZE73R-51</t>
  </si>
  <si>
    <t>ED-IND-YE60H-83</t>
  </si>
  <si>
    <t>ED-IND-VX39R-58</t>
  </si>
  <si>
    <t>ED-IND-EZ85Y-94</t>
  </si>
  <si>
    <t>PC-IND-WJ78F-41</t>
  </si>
  <si>
    <t>ED-IND-XP12V-70</t>
  </si>
  <si>
    <t>ED-IND-EB78U-19</t>
  </si>
  <si>
    <t>ED-IND-VV85G-79</t>
  </si>
  <si>
    <t>ED-IND-DS24U-53</t>
  </si>
  <si>
    <t>ED-IND-VC82D-70</t>
  </si>
  <si>
    <t>ED-IND-GU99X-17</t>
  </si>
  <si>
    <t>ED-IND-OQ13E-32</t>
  </si>
  <si>
    <t>PC-IND-TX59N-57</t>
  </si>
  <si>
    <t>PC-IND-BK34R-82</t>
  </si>
  <si>
    <t>ED-IND-DK54G-22</t>
  </si>
  <si>
    <t>PC-IND-ND54S-18</t>
  </si>
  <si>
    <t>ED-IND-KQ10A-94</t>
  </si>
  <si>
    <t>PC-IND-PE93W-55</t>
  </si>
  <si>
    <t>ED-IND-FP29A-07</t>
  </si>
  <si>
    <t>ED-IND-TE26U-42</t>
  </si>
  <si>
    <t>ED-IND-HV78W-96</t>
  </si>
  <si>
    <t>PC-IND-QE12W-52</t>
  </si>
  <si>
    <t>ED-IND-AS14F-42</t>
  </si>
  <si>
    <t>PC-IND-SQ22S-93</t>
  </si>
  <si>
    <t>ED-IND-GA92N-50</t>
  </si>
  <si>
    <t>ED-IND-OH84I-36</t>
  </si>
  <si>
    <t>ED-IND-QQ71B-22</t>
  </si>
  <si>
    <t>ED-IND-YO64C-37</t>
  </si>
  <si>
    <t>ED-IND-CS82V-04</t>
  </si>
  <si>
    <t>ED-IND-MQ45D-68</t>
  </si>
  <si>
    <t>ED-IND-SQ15N-67</t>
  </si>
  <si>
    <t>PC-IND-CS11U-81</t>
  </si>
  <si>
    <t>PC-IND-BL98D-55</t>
  </si>
  <si>
    <t>ED-IND-FU33N-93</t>
  </si>
  <si>
    <t>ED-IND-AA98Z-93</t>
  </si>
  <si>
    <t>ED-IND-NN91W-42</t>
  </si>
  <si>
    <t>ED-IND-XN78O-43</t>
  </si>
  <si>
    <t>PC-IND-GD43S-75</t>
  </si>
  <si>
    <t>ED-IND-RP87E-28</t>
  </si>
  <si>
    <t>ED-IND-VN51L-36</t>
  </si>
  <si>
    <t>PC-IND-HF17O-95</t>
  </si>
  <si>
    <t>PC-IND-PC69J-06</t>
  </si>
  <si>
    <t>ED-IND-JO61C-83</t>
  </si>
  <si>
    <t>ED-IND-NP64E-24</t>
  </si>
  <si>
    <t>ED-IND-GB73G-89</t>
  </si>
  <si>
    <t>ED-IND-KQ11J-23</t>
  </si>
  <si>
    <t>ED-IND-CK50Z-55</t>
  </si>
  <si>
    <t>PC-IND-TH16V-28</t>
  </si>
  <si>
    <t>ED-IND-CK35Q-03</t>
  </si>
  <si>
    <t>ED-IND-CH49W-59</t>
  </si>
  <si>
    <t>ED-IND-SG48S-35</t>
  </si>
  <si>
    <t>PC-IND-CL24B-65</t>
  </si>
  <si>
    <t>ED-IND-WH42Q-32</t>
  </si>
  <si>
    <t>PC-IND-ST10Y-44</t>
  </si>
  <si>
    <t>PC-IND-VT15K-43</t>
  </si>
  <si>
    <t>PC-IND-CS19L-16</t>
  </si>
  <si>
    <t>ED-IND-KS21T-93</t>
  </si>
  <si>
    <t>ED-IND-KA81H-18</t>
  </si>
  <si>
    <t>PC-IND-SY54Z-36</t>
  </si>
  <si>
    <t>ED-IND-UH50A-20</t>
  </si>
  <si>
    <t>PC-IND-IZ64F-87</t>
  </si>
  <si>
    <t>ED-IND-AS92B-02</t>
  </si>
  <si>
    <t>ED-IND-SR73W-14</t>
  </si>
  <si>
    <t>ED-IND-FC90H-79</t>
  </si>
  <si>
    <t>PC-IND-LQ61T-42</t>
  </si>
  <si>
    <t>ED-IND-XR40M-51</t>
  </si>
  <si>
    <t>ED-IND-UZ25P-12</t>
  </si>
  <si>
    <t>PC-IND-EL74L-67</t>
  </si>
  <si>
    <t>PC-IND-KH67D-83</t>
  </si>
  <si>
    <t>ED-IND-HT56M-64</t>
  </si>
  <si>
    <t>PC-IND-DZ97R-67</t>
  </si>
  <si>
    <t>ED-IND-PE72P-80</t>
  </si>
  <si>
    <t>ED-IND-UK36S-57</t>
  </si>
  <si>
    <t>ED-IND-EW94F-08</t>
  </si>
  <si>
    <t>ED-IND-DP53U-61</t>
  </si>
  <si>
    <t>PC-IND-LV16Y-64</t>
  </si>
  <si>
    <t>ED-IND-QX56H-85</t>
  </si>
  <si>
    <t>PC-IND-NT85T-12</t>
  </si>
  <si>
    <t>PC-IND-NR38K-95</t>
  </si>
  <si>
    <t>PC-IND-SN42B-68</t>
  </si>
  <si>
    <t>ED-IND-ZH47Y-87</t>
  </si>
  <si>
    <t>ED-IND-WV35R-39</t>
  </si>
  <si>
    <t>ED-IND-DI56U-78</t>
  </si>
  <si>
    <t>ED-IND-GD10D-73</t>
  </si>
  <si>
    <t>ED-IND-PL14K-15</t>
  </si>
  <si>
    <t>ED-IND-TF42R-49</t>
  </si>
  <si>
    <t>ED-IND-BF45S-26</t>
  </si>
  <si>
    <t>ED-IND-HA79V-51</t>
  </si>
  <si>
    <t>PC-IND-GP84Y-49</t>
  </si>
  <si>
    <t>PC-IND-DI79R-24</t>
  </si>
  <si>
    <t>ED-IND-KV98A-82</t>
  </si>
  <si>
    <t>ED-IND-QW67W-84</t>
  </si>
  <si>
    <t>ED-IND-MR35W-40</t>
  </si>
  <si>
    <t>ED-IND-LX66Z-85</t>
  </si>
  <si>
    <t>ED-IND-AM96N-61</t>
  </si>
  <si>
    <t>ED-IND-LI95K-37</t>
  </si>
  <si>
    <t>PC-IND-QX17A-98</t>
  </si>
  <si>
    <t>ED-IND-RI15Q-93</t>
  </si>
  <si>
    <t>ED-IND-TS69Y-23</t>
  </si>
  <si>
    <t>ED-IND-DB82T-55</t>
  </si>
  <si>
    <t>ED-IND-OO26A-57</t>
  </si>
  <si>
    <t>ED-IND-GR47F-74</t>
  </si>
  <si>
    <t>ED-IND-JC65B-41</t>
  </si>
  <si>
    <t>ED-IND-KA47B-58</t>
  </si>
  <si>
    <t>ED-IND-TP31M-47</t>
  </si>
  <si>
    <t>ED-IND-PU76Q-26</t>
  </si>
  <si>
    <t>ED-IND-UA80H-96</t>
  </si>
  <si>
    <t>ED-IND-FN30B-54</t>
  </si>
  <si>
    <t>PC-IND-HQ41J-38</t>
  </si>
  <si>
    <t>PC-IND-TV38F-20</t>
  </si>
  <si>
    <t>ED-IND-LU82I-21</t>
  </si>
  <si>
    <t>PC-IND-GW57R-80</t>
  </si>
  <si>
    <t>PC-IND-TH48V-55</t>
  </si>
  <si>
    <t>ED-IND-IH69L-89</t>
  </si>
  <si>
    <t>ED-IND-WP36V-46</t>
  </si>
  <si>
    <t>PC-IND-WI94H-32</t>
  </si>
  <si>
    <t>ED-IND-CC44Q-46</t>
  </si>
  <si>
    <t>PC-IND-ZH78L-24</t>
  </si>
  <si>
    <t>ED-IND-YL38K-96</t>
  </si>
  <si>
    <t>ED-IND-RB70L-41</t>
  </si>
  <si>
    <t>PC-IND-KD55V-71</t>
  </si>
  <si>
    <t>ED-IND-FC94J-15</t>
  </si>
  <si>
    <t>ED-IND-RU34H-24</t>
  </si>
  <si>
    <t>PC-IND-EZ59H-64</t>
  </si>
  <si>
    <t>ED-IND-SK26U-33</t>
  </si>
  <si>
    <t>ED-IND-ZW56K-80</t>
  </si>
  <si>
    <t>ED-IND-RG52L-05</t>
  </si>
  <si>
    <t>ED-IND-LP54M-80</t>
  </si>
  <si>
    <t>ED-IND-VA64W-87</t>
  </si>
  <si>
    <t>ED-IND-GY52O-25</t>
  </si>
  <si>
    <t>ED-IND-FL12U-99</t>
  </si>
  <si>
    <t>PC-IND-RK70Y-49</t>
  </si>
  <si>
    <t>PC-IND-XF36Z-55</t>
  </si>
  <si>
    <t>ED-IND-JZ11T-49</t>
  </si>
  <si>
    <t>ED-IND-GP87Y-53</t>
  </si>
  <si>
    <t>PC-IND-KJ59A-29</t>
  </si>
  <si>
    <t>ED-IND-XG87M-46</t>
  </si>
  <si>
    <t>ED-IND-IX60T-53</t>
  </si>
  <si>
    <t>ED-IND-ZX63T-91</t>
  </si>
  <si>
    <t>ED-IND-MX65B-33</t>
  </si>
  <si>
    <t>ED-IND-UF79Y-15</t>
  </si>
  <si>
    <t>PC-IND-CL66K-81</t>
  </si>
  <si>
    <t>PC-IND-HD72A-18</t>
  </si>
  <si>
    <t>ED-IND-XT68O-72</t>
  </si>
  <si>
    <t>ED-IND-EL18K-72</t>
  </si>
  <si>
    <t>ED-IND-MS24V-94</t>
  </si>
  <si>
    <t>ED-IND-VG37N-91</t>
  </si>
  <si>
    <t>ED-IND-FX61T-41</t>
  </si>
  <si>
    <t>ED-IND-XG43H-75</t>
  </si>
  <si>
    <t>ED-IND-ZI56Y-82</t>
  </si>
  <si>
    <t>ED-IND-XK95I-97</t>
  </si>
  <si>
    <t>ED-IND-FH73Y-70</t>
  </si>
  <si>
    <t>ED-IND-UI14M-96</t>
  </si>
  <si>
    <t>ED-IND-YB24P-98</t>
  </si>
  <si>
    <t>ED-IND-UN50O-99</t>
  </si>
  <si>
    <t>ED-IND-YT69S-10</t>
  </si>
  <si>
    <t>ED-IND-WK23M-46</t>
  </si>
  <si>
    <t>ED-IND-FH28I-67</t>
  </si>
  <si>
    <t>ED-IND-FR75G-33</t>
  </si>
  <si>
    <t>ED-IND-XS66G-28</t>
  </si>
  <si>
    <t>ED-IND-SR15F-05</t>
  </si>
  <si>
    <t>PC-IND-SZ23D-77</t>
  </si>
  <si>
    <t>PC-IND-OF37E-72</t>
  </si>
  <si>
    <t>PC-IND-RF53K-15</t>
  </si>
  <si>
    <t>PC-IND-YE51J-23</t>
  </si>
  <si>
    <t>ED-IND-PN45W-80</t>
  </si>
  <si>
    <t>ED-IND-UK76B-44</t>
  </si>
  <si>
    <t>ED-IND-ZQ23E-67</t>
  </si>
  <si>
    <t>ED-IND-SN66C-87</t>
  </si>
  <si>
    <t>ED-IND-LG63W-48</t>
  </si>
  <si>
    <t>PC-IND-FG29F-27</t>
  </si>
  <si>
    <t>ED-IND-WQ77V-80</t>
  </si>
  <si>
    <t>ED-IND-QN86I-98</t>
  </si>
  <si>
    <t>ED-IND-VO12B-10</t>
  </si>
  <si>
    <t>ED-IND-EN88K-60</t>
  </si>
  <si>
    <t>ED-IND-DC84U-77</t>
  </si>
  <si>
    <t>ED-IND-HG22A-55</t>
  </si>
  <si>
    <t>ED-IND-SS44S-99</t>
  </si>
  <si>
    <t>PC-IND-QH25U-68</t>
  </si>
  <si>
    <t>ED-IND-BA19J-44</t>
  </si>
  <si>
    <t>ED-IND-WD76F-86</t>
  </si>
  <si>
    <t>ED-IND-QQ62B-85</t>
  </si>
  <si>
    <t>PC-IND-SO42H-70</t>
  </si>
  <si>
    <t>ED-IND-CD90N-05</t>
  </si>
  <si>
    <t>ED-IND-NJ31S-75</t>
  </si>
  <si>
    <t>ED-IND-IM12N-51</t>
  </si>
  <si>
    <t>ED-IND-GH80Y-46</t>
  </si>
  <si>
    <t>PC-IND-TH98E-88</t>
  </si>
  <si>
    <t>ED-IND-EI46Z-81</t>
  </si>
  <si>
    <t>PC-IND-QS83Q-84</t>
  </si>
  <si>
    <t>PC-IND-VP30W-73</t>
  </si>
  <si>
    <t>ED-IND-RD86G-53</t>
  </si>
  <si>
    <t>ED-IND-IZ21P-56</t>
  </si>
  <si>
    <t>ED-IND-RK46R-82</t>
  </si>
  <si>
    <t>ED-IND-GA75S-06</t>
  </si>
  <si>
    <t>ED-IND-XK40G-09</t>
  </si>
  <si>
    <t>ED-IND-MO79E-95</t>
  </si>
  <si>
    <t>ED-IND-CP47H-30</t>
  </si>
  <si>
    <t>ED-IND-XC16C-47</t>
  </si>
  <si>
    <t>ED-IND-LI34P-06</t>
  </si>
  <si>
    <t>PC-IND-KZ89R-27</t>
  </si>
  <si>
    <t>ED-IND-RJ40F-11</t>
  </si>
  <si>
    <t>PC-IND-CS63W-59</t>
  </si>
  <si>
    <t>ED-IND-VI98V-08</t>
  </si>
  <si>
    <t>ED-IND-AN73A-26</t>
  </si>
  <si>
    <t>ED-IND-DR24N-77</t>
  </si>
  <si>
    <t>ED-IND-DX90D-70</t>
  </si>
  <si>
    <t>ED-IND-YI64J-44</t>
  </si>
  <si>
    <t>ED-IND-CH67J-48</t>
  </si>
  <si>
    <t>ED-IND-UI20Y-67</t>
  </si>
  <si>
    <t>ED-IND-VE63X-76</t>
  </si>
  <si>
    <t>ED-IND-GO89N-82</t>
  </si>
  <si>
    <t>ED-IND-FG19V-50</t>
  </si>
  <si>
    <t>ED-IND-JX90K-83</t>
  </si>
  <si>
    <t>PC-IND-KM35F-18</t>
  </si>
  <si>
    <t>PC-IND-BS67Y-16</t>
  </si>
  <si>
    <t>ED-IND-UK50Y-68</t>
  </si>
  <si>
    <t>ED-IND-PO91J-47</t>
  </si>
  <si>
    <t>PC-IND-VY78W-36</t>
  </si>
  <si>
    <t>ED-IND-DJ46H-39</t>
  </si>
  <si>
    <t>PC-IND-VC42L-55</t>
  </si>
  <si>
    <t>ED-IND-PW48R-65</t>
  </si>
  <si>
    <t>ED-IND-VK60I-85</t>
  </si>
  <si>
    <t>ED-IND-GL58S-10</t>
  </si>
  <si>
    <t>PC-IND-SV55R-71</t>
  </si>
  <si>
    <t>ED-IND-PO91J-23</t>
  </si>
  <si>
    <t>ED-IND-VZ90N-04</t>
  </si>
  <si>
    <t>ED-IND-UY21U-21</t>
  </si>
  <si>
    <t>ED-IND-IB11L-91</t>
  </si>
  <si>
    <t>ED-IND-VH74L-41</t>
  </si>
  <si>
    <t>ED-IND-NU78J-02</t>
  </si>
  <si>
    <t>PC-IND-OX23H-48</t>
  </si>
  <si>
    <t>ED-IND-RD37Q-97</t>
  </si>
  <si>
    <t>ED-IND-KE92Q-83</t>
  </si>
  <si>
    <t>ED-IND-GQ86P-32</t>
  </si>
  <si>
    <t>ED-IND-BY80C-50</t>
  </si>
  <si>
    <t>PC-IND-UC73T-67</t>
  </si>
  <si>
    <t>ED-IND-RH29R-12</t>
  </si>
  <si>
    <t>ED-IND-YX84U-89</t>
  </si>
  <si>
    <t>PC-IND-EU86S-92</t>
  </si>
  <si>
    <t>ED-IND-ZL96L-51</t>
  </si>
  <si>
    <t>ED-IND-ND70C-51</t>
  </si>
  <si>
    <t>ED-IND-SY16N-84</t>
  </si>
  <si>
    <t>ED-IND-IT55K-69</t>
  </si>
  <si>
    <t>ED-IND-QK35T-01</t>
  </si>
  <si>
    <t>ED-IND-AE99B-20</t>
  </si>
  <si>
    <t>ED-IND-KC13P-47</t>
  </si>
  <si>
    <t>PC-IND-TK58D-94</t>
  </si>
  <si>
    <t>ED-IND-GX50P-50</t>
  </si>
  <si>
    <t>PC-IND-EA78R-70</t>
  </si>
  <si>
    <t>ED-IND-HI43J-06</t>
  </si>
  <si>
    <t>ED-IND-PA96Q-92</t>
  </si>
  <si>
    <t>ED-IND-JE24H-10</t>
  </si>
  <si>
    <t>ED-IND-PV79R-29</t>
  </si>
  <si>
    <t>ED-IND-EX27F-80</t>
  </si>
  <si>
    <t>ED-IND-YN48Z-77</t>
  </si>
  <si>
    <t>ED-IND-IP79W-78</t>
  </si>
  <si>
    <t>ED-IND-MT12G-70</t>
  </si>
  <si>
    <t>ED-IND-QL97P-72</t>
  </si>
  <si>
    <t>ED-IND-PH81X-36</t>
  </si>
  <si>
    <t>PC-IND-MN14I-06</t>
  </si>
  <si>
    <t>ED-IND-KG59K-65</t>
  </si>
  <si>
    <t>ED-IND-DW92G-51</t>
  </si>
  <si>
    <t>ED-IND-WY46Q-51</t>
  </si>
  <si>
    <t>ED-IND-BN25J-43</t>
  </si>
  <si>
    <t>PC-IND-CB52L-67</t>
  </si>
  <si>
    <t>PC-IND-NN66A-23</t>
  </si>
  <si>
    <t>PC-IND-OO59V-83</t>
  </si>
  <si>
    <t>PC-IND-PS62Q-26</t>
  </si>
  <si>
    <t>PC-IND-SK46J-62</t>
  </si>
  <si>
    <t>ED-IND-II97H-03</t>
  </si>
  <si>
    <t>ED-IND-GH64A-63</t>
  </si>
  <si>
    <t>PC-IND-EU99Q-72</t>
  </si>
  <si>
    <t>PC-IND-YU62O-09</t>
  </si>
  <si>
    <t>ED-IND-LM39V-60</t>
  </si>
  <si>
    <t>PC-IND-CL95J-29</t>
  </si>
  <si>
    <t>ED-IND-TB76X-95</t>
  </si>
  <si>
    <t>ED-IND-WJ69G-20</t>
  </si>
  <si>
    <t>ED-IND-HM84S-97</t>
  </si>
  <si>
    <t>PC-IND-MY67R-81</t>
  </si>
  <si>
    <t>ED-IND-RQ49R-24</t>
  </si>
  <si>
    <t>ED-IND-SQ94S-27</t>
  </si>
  <si>
    <t>ED-IND-LK96P-42</t>
  </si>
  <si>
    <t>ED-IND-HA85Q-96</t>
  </si>
  <si>
    <t>ED-IND-PW18T-40</t>
  </si>
  <si>
    <t>ED-IND-MC93X-99</t>
  </si>
  <si>
    <t>ED-IND-VS31L-06</t>
  </si>
  <si>
    <t>ED-IND-PT75M-95</t>
  </si>
  <si>
    <t>ED-IND-WM57Z-71</t>
  </si>
  <si>
    <t>ED-IND-CV14N-65</t>
  </si>
  <si>
    <t>ED-IND-LS37W-58</t>
  </si>
  <si>
    <t>ED-IND-UL37A-04</t>
  </si>
  <si>
    <t>ED-IND-GM57B-59</t>
  </si>
  <si>
    <t>PC-IND-ZX23K-36</t>
  </si>
  <si>
    <t>ED-IND-MB17B-64</t>
  </si>
  <si>
    <t>ED-IND-RK23Y-14</t>
  </si>
  <si>
    <t>ED-IND-DD43X-04</t>
  </si>
  <si>
    <t>ED-IND-FX48W-87</t>
  </si>
  <si>
    <t>ED-IND-MU63M-58</t>
  </si>
  <si>
    <t>ED-IND-BQ98Y-22</t>
  </si>
  <si>
    <t>ED-IND-TM48M-05</t>
  </si>
  <si>
    <t>ED-IND-KT59V-85</t>
  </si>
  <si>
    <t>PC-IND-XZ66G-09</t>
  </si>
  <si>
    <t>ED-IND-YJ23T-65</t>
  </si>
  <si>
    <t>ED-IND-WH81C-41</t>
  </si>
  <si>
    <t>ED-IND-AJ42M-80</t>
  </si>
  <si>
    <t>ED-IND-GE56I-06</t>
  </si>
  <si>
    <t>PC-IND-XB66C-99</t>
  </si>
  <si>
    <t>ED-IND-KB56F-19</t>
  </si>
  <si>
    <t>ED-IND-BJ51E-40</t>
  </si>
  <si>
    <t>ED-IND-ZC49N-93</t>
  </si>
  <si>
    <t>ED-IND-VC88Q-36</t>
  </si>
  <si>
    <t>PC-IND-AB58U-04</t>
  </si>
  <si>
    <t>ED-IND-JJ51X-25</t>
  </si>
  <si>
    <t>ED-IND-FV97V-50</t>
  </si>
  <si>
    <t>ED-IND-HG10P-10</t>
  </si>
  <si>
    <t>ED-IND-GN25E-46</t>
  </si>
  <si>
    <t>PC-IND-MP19Z-95</t>
  </si>
  <si>
    <t>ED-IND-IL14I-15</t>
  </si>
  <si>
    <t>ED-IND-KM89P-01</t>
  </si>
  <si>
    <t>ED-IND-HP33G-24</t>
  </si>
  <si>
    <t>ED-IND-ZF18V-17</t>
  </si>
  <si>
    <t>ED-IND-OZ76J-01</t>
  </si>
  <si>
    <t>PC-IND-ZH64L-21</t>
  </si>
  <si>
    <t>ED-IND-XF13Q-10</t>
  </si>
  <si>
    <t>ED-IND-BM20C-78</t>
  </si>
  <si>
    <t>PC-IND-EP27E-20</t>
  </si>
  <si>
    <t>ED-IND-FV18L-32</t>
  </si>
  <si>
    <t>PC-IND-IC10Z-85</t>
  </si>
  <si>
    <t>ED-IND-ZK46V-70</t>
  </si>
  <si>
    <t>ED-IND-LB73Y-47</t>
  </si>
  <si>
    <t>PC-IND-ZZ90Z-21</t>
  </si>
  <si>
    <t>ED-IND-YY93P-18</t>
  </si>
  <si>
    <t>ED-IND-RU51P-79</t>
  </si>
  <si>
    <t>ED-IND-SZ28G-71</t>
  </si>
  <si>
    <t>ED-IND-FZ14N-22</t>
  </si>
  <si>
    <t>PC-IND-IV53D-37</t>
  </si>
  <si>
    <t>PC-IND-WX72Z-42</t>
  </si>
  <si>
    <t>ED-IND-ZE20D-49</t>
  </si>
  <si>
    <t>ED-IND-NE66V-68</t>
  </si>
  <si>
    <t>PC-IND-VI92A-48</t>
  </si>
  <si>
    <t>PC-IND-FO11L-85</t>
  </si>
  <si>
    <t>PC-IND-HV89O-63</t>
  </si>
  <si>
    <t>PC-IND-QL67X-38</t>
  </si>
  <si>
    <t>PC-IND-YS75Q-06</t>
  </si>
  <si>
    <t>ED-IND-GU52F-58</t>
  </si>
  <si>
    <t>ED-IND-IK80Q-92</t>
  </si>
  <si>
    <t>PC-IND-ER87N-22</t>
  </si>
  <si>
    <t>ED-IND-JH60Z-43</t>
  </si>
  <si>
    <t>PC-IND-NQ81R-23</t>
  </si>
  <si>
    <t>ED-IND-CD47X-51</t>
  </si>
  <si>
    <t>ED-IND-QV43B-56</t>
  </si>
  <si>
    <t>ED-IND-ZW59A-38</t>
  </si>
  <si>
    <t>PC-IND-FT23W-60</t>
  </si>
  <si>
    <t>PC-IND-JP33W-48</t>
  </si>
  <si>
    <t>ED-IND-LQ22G-73</t>
  </si>
  <si>
    <t>PC-IND-TU59U-31</t>
  </si>
  <si>
    <t>ED-IND-AZ83R-22</t>
  </si>
  <si>
    <t>ED-IND-MG71J-48</t>
  </si>
  <si>
    <t>ED-IND-ER90R-48</t>
  </si>
  <si>
    <t>ED-IND-XH52P-23</t>
  </si>
  <si>
    <t>ED-IND-ZU66U-33</t>
  </si>
  <si>
    <t>ED-IND-WX73C-11</t>
  </si>
  <si>
    <t>PC-IND-HL93P-01</t>
  </si>
  <si>
    <t>ED-IND-LE66O-81</t>
  </si>
  <si>
    <t>ED-IND-TX94W-76</t>
  </si>
  <si>
    <t>ED-IND-DL55U-64</t>
  </si>
  <si>
    <t>ED-IND-PF60P-93</t>
  </si>
  <si>
    <t>ED-IND-XX54C-03</t>
  </si>
  <si>
    <t>ED-IND-TF27X-97</t>
  </si>
  <si>
    <t>ED-IND-AV90W-40</t>
  </si>
  <si>
    <t>ED-IND-DN87P-81</t>
  </si>
  <si>
    <t>ED-IND-PY71W-87</t>
  </si>
  <si>
    <t>ED-IND-AP71X-79</t>
  </si>
  <si>
    <t>ED-IND-GP88P-45</t>
  </si>
  <si>
    <t>PC-IND-HE71K-95</t>
  </si>
  <si>
    <t>PC-IND-FT52J-47</t>
  </si>
  <si>
    <t>ED-IND-QQ25V-20</t>
  </si>
  <si>
    <t>ED-IND-SN84C-96</t>
  </si>
  <si>
    <t>ED-IND-YT77I-52</t>
  </si>
  <si>
    <t>PC-IND-MG84Z-91</t>
  </si>
  <si>
    <t>PC-IND-TE50N-54</t>
  </si>
  <si>
    <t>PC-IND-UU74B-15</t>
  </si>
  <si>
    <t>ED-IND-CP44L-46</t>
  </si>
  <si>
    <t>ED-IND-BA53J-37</t>
  </si>
  <si>
    <t>ED-IND-QD21W-53</t>
  </si>
  <si>
    <t>ED-IND-CR97J-08</t>
  </si>
  <si>
    <t>ED-IND-GC96A-88</t>
  </si>
  <si>
    <t>ED-IND-ZF77J-41</t>
  </si>
  <si>
    <t>PC-IND-LE21D-23</t>
  </si>
  <si>
    <t>ED-IND-VZ74Q-74</t>
  </si>
  <si>
    <t>ED-IND-BS55M-05</t>
  </si>
  <si>
    <t>ED-IND-GQ85N-18</t>
  </si>
  <si>
    <t>ED-IND-BH90S-10</t>
  </si>
  <si>
    <t>PC-IND-CH58Y-98</t>
  </si>
  <si>
    <t>ED-IND-LH75X-81</t>
  </si>
  <si>
    <t>PC-IND-MX75P-18</t>
  </si>
  <si>
    <t>ED-IND-AI73L-10</t>
  </si>
  <si>
    <t>PC-IND-YE56N-08</t>
  </si>
  <si>
    <t>ED-IND-AW48N-58</t>
  </si>
  <si>
    <t>ED-IND-HR36W-89</t>
  </si>
  <si>
    <t>ED-IND-YX26A-13</t>
  </si>
  <si>
    <t>ED-IND-AW57N-95</t>
  </si>
  <si>
    <t>PC-IND-KV10F-49</t>
  </si>
  <si>
    <t>PC-IND-EB66Q-75</t>
  </si>
  <si>
    <t>ED-IND-BZ79C-24</t>
  </si>
  <si>
    <t>PC-IND-AU72I-26</t>
  </si>
  <si>
    <t>ED-IND-VM64G-02</t>
  </si>
  <si>
    <t>ED-IND-KW68F-78</t>
  </si>
  <si>
    <t>ED-IND-NK78L-36</t>
  </si>
  <si>
    <t>ED-IND-ON83N-05</t>
  </si>
  <si>
    <t>PC-IND-OO77U-15</t>
  </si>
  <si>
    <t>PC-IND-SE98Q-29</t>
  </si>
  <si>
    <t>ED-IND-DG24B-24</t>
  </si>
  <si>
    <t>ED-IND-ME36I-17</t>
  </si>
  <si>
    <t>ED-IND-RY93R-14</t>
  </si>
  <si>
    <t>ED-IND-CR14F-50</t>
  </si>
  <si>
    <t>ED-IND-IR17Z-14</t>
  </si>
  <si>
    <t>ED-IND-JK27W-13</t>
  </si>
  <si>
    <t>ED-IND-SR87O-39</t>
  </si>
  <si>
    <t>ED-IND-EI14A-82</t>
  </si>
  <si>
    <t>ED-IND-UX88B-38</t>
  </si>
  <si>
    <t>ED-IND-AY81Y-88</t>
  </si>
  <si>
    <t>ED-IND-OE92Q-08</t>
  </si>
  <si>
    <t>PC-IND-QL16Y-80</t>
  </si>
  <si>
    <t>ED-IND-HE78Y-96</t>
  </si>
  <si>
    <t>PC-IND-WZ86E-89</t>
  </si>
  <si>
    <t>ED-IND-PB73D-16</t>
  </si>
  <si>
    <t>ED-IND-IU25Z-31</t>
  </si>
  <si>
    <t>ED-IND-KP24Y-16</t>
  </si>
  <si>
    <t>ED-IND-ZP16M-96</t>
  </si>
  <si>
    <t>ED-IND-XT71L-23</t>
  </si>
  <si>
    <t>ED-IND-CA94Q-04</t>
  </si>
  <si>
    <t>PC-IND-HR49Z-94</t>
  </si>
  <si>
    <t>PC-IND-MG55D-28</t>
  </si>
  <si>
    <t>ED-IND-EI14O-21</t>
  </si>
  <si>
    <t>ED-IND-VA50F-81</t>
  </si>
  <si>
    <t>ED-IND-RD23C-63</t>
  </si>
  <si>
    <t>ED-IND-ED37Z-05</t>
  </si>
  <si>
    <t>ED-IND-CI52D-90</t>
  </si>
  <si>
    <t>PC-IND-JN15E-79</t>
  </si>
  <si>
    <t>ED-IND-ML40P-54</t>
  </si>
  <si>
    <t>ED-IND-NY52T-35</t>
  </si>
  <si>
    <t>ED-IND-OU87M-50</t>
  </si>
  <si>
    <t>ED-IND-XA80P-77</t>
  </si>
  <si>
    <t>PC-IND-SX89B-96</t>
  </si>
  <si>
    <t>ED-IND-WQ84L-96</t>
  </si>
  <si>
    <t>PC-IND-KE97B-18</t>
  </si>
  <si>
    <t>PC-IND-GC84W-61</t>
  </si>
  <si>
    <t>ED-IND-KB66Z-13</t>
  </si>
  <si>
    <t>ED-IND-SU87G-04</t>
  </si>
  <si>
    <t>PC-IND-MO14M-05</t>
  </si>
  <si>
    <t>ED-IND-JN32G-21</t>
  </si>
  <si>
    <t>PC-IND-UT35H-64</t>
  </si>
  <si>
    <t>ED-IND-TQ62O-75</t>
  </si>
  <si>
    <t>ED-IND-FO75Z-20</t>
  </si>
  <si>
    <t>ED-IND-ML91F-37</t>
  </si>
  <si>
    <t>ED-IND-PY54W-22</t>
  </si>
  <si>
    <t>PC-IND-FB92A-35</t>
  </si>
  <si>
    <t>ED-IND-VT22D-51</t>
  </si>
  <si>
    <t>ED-IND-DY60M-09</t>
  </si>
  <si>
    <t>ED-IND-VO52Q-50</t>
  </si>
  <si>
    <t>ED-IND-KQ78V-74</t>
  </si>
  <si>
    <t>PC-IND-ES12T-06</t>
  </si>
  <si>
    <t>ED-IND-UL42M-02</t>
  </si>
  <si>
    <t>ED-IND-UL24S-60</t>
  </si>
  <si>
    <t>PC-IND-VA16S-40</t>
  </si>
  <si>
    <t>ED-IND-JQ86Z-13</t>
  </si>
  <si>
    <t>ED-IND-MG36O-77</t>
  </si>
  <si>
    <t>PC-IND-YN53J-02</t>
  </si>
  <si>
    <t>ED-IND-XW36K-94</t>
  </si>
  <si>
    <t>ED-IND-HL96Q-18</t>
  </si>
  <si>
    <t>ED-IND-EL85P-37</t>
  </si>
  <si>
    <t>PC-IND-PL81H-89</t>
  </si>
  <si>
    <t>ED-IND-PF16V-07</t>
  </si>
  <si>
    <t>PC-IND-DM94X-36</t>
  </si>
  <si>
    <t>PC-IND-DE25R-75</t>
  </si>
  <si>
    <t>ED-IND-CN93Q-67</t>
  </si>
  <si>
    <t>ED-IND-JA42A-30</t>
  </si>
  <si>
    <t>ED-IND-NX23U-25</t>
  </si>
  <si>
    <t>ED-IND-DK71Z-64</t>
  </si>
  <si>
    <t>ED-IND-OC30Z-09</t>
  </si>
  <si>
    <t>ED-IND-GR55I-34</t>
  </si>
  <si>
    <t>ED-IND-YR66S-21</t>
  </si>
  <si>
    <t>ED-IND-KU39O-48</t>
  </si>
  <si>
    <t>ED-IND-NE38K-89</t>
  </si>
  <si>
    <t>ED-IND-NH80K-01</t>
  </si>
  <si>
    <t>ED-IND-FL75H-02</t>
  </si>
  <si>
    <t>ED-IND-ZL95M-92</t>
  </si>
  <si>
    <t>ED-IND-UK84F-51</t>
  </si>
  <si>
    <t>ED-IND-TM41Y-64</t>
  </si>
  <si>
    <t>ED-IND-RZ17U-71</t>
  </si>
  <si>
    <t>ED-IND-DV84C-44</t>
  </si>
  <si>
    <t>ED-IND-RA14O-95</t>
  </si>
  <si>
    <t>PC-IND-CC67Q-63</t>
  </si>
  <si>
    <t>ED-IND-SZ86O-54</t>
  </si>
  <si>
    <t>ED-IND-HP75E-64</t>
  </si>
  <si>
    <t>ED-IND-GC37K-21</t>
  </si>
  <si>
    <t>ED-IND-MQ99B-48</t>
  </si>
  <si>
    <t>ED-IND-MV55Y-66</t>
  </si>
  <si>
    <t>PC-IND-XW97A-22</t>
  </si>
  <si>
    <t>ED-IND-ZP16Y-32</t>
  </si>
  <si>
    <t>ED-IND-KJ88Q-86</t>
  </si>
  <si>
    <t>ED coating</t>
  </si>
  <si>
    <t>Powder Coating</t>
  </si>
  <si>
    <t>Column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</si>
  <si>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</si>
  <si>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</si>
  <si>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</si>
  <si>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</si>
  <si>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</si>
  <si>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</si>
  <si>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</si>
  <si>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</si>
  <si>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</si>
  <si>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</si>
  <si>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</si>
  <si>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</si>
  <si>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</si>
  <si>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</si>
  <si>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Sum of Total</t>
  </si>
  <si>
    <t>INV-2301-001</t>
  </si>
  <si>
    <t>Pune</t>
  </si>
  <si>
    <t>INV-2301-002</t>
  </si>
  <si>
    <t>Mumbai</t>
  </si>
  <si>
    <t>INV-2301-003</t>
  </si>
  <si>
    <t>INV-2301-004</t>
  </si>
  <si>
    <t>INV-2301-005</t>
  </si>
  <si>
    <t>INV-2301-006</t>
  </si>
  <si>
    <t>INV-2301-007</t>
  </si>
  <si>
    <t>INV-2301-008</t>
  </si>
  <si>
    <t>INV-2301-009</t>
  </si>
  <si>
    <t>INV-2301-010</t>
  </si>
  <si>
    <t>INV-2301-011</t>
  </si>
  <si>
    <t>INV-2301-012</t>
  </si>
  <si>
    <t>INV-2301-013</t>
  </si>
  <si>
    <t>INV-2301-014</t>
  </si>
  <si>
    <t>INV-2301-015</t>
  </si>
  <si>
    <t>INV-2301-016</t>
  </si>
  <si>
    <t>INV-2301-017</t>
  </si>
  <si>
    <t>INV-2301-018</t>
  </si>
  <si>
    <t>INV-2301-019</t>
  </si>
  <si>
    <t>INV-2301-020</t>
  </si>
  <si>
    <t>INV-2301-021</t>
  </si>
  <si>
    <t>INV-2301-022</t>
  </si>
  <si>
    <t>INV-2301-023</t>
  </si>
  <si>
    <t>INV-2301-024</t>
  </si>
  <si>
    <t>INV-2301-025</t>
  </si>
  <si>
    <t>INV-2301-026</t>
  </si>
  <si>
    <t>INV-2301-027</t>
  </si>
  <si>
    <t>INV-2301-028</t>
  </si>
  <si>
    <t>INV-2302-029</t>
  </si>
  <si>
    <t>INV-2302-030</t>
  </si>
  <si>
    <t>INV-2302-031</t>
  </si>
  <si>
    <t>INV-2302-032</t>
  </si>
  <si>
    <t>INV-2302-033</t>
  </si>
  <si>
    <t>INV-2302-034</t>
  </si>
  <si>
    <t>INV-2302-035</t>
  </si>
  <si>
    <t>INV-2302-036</t>
  </si>
  <si>
    <t>INV-2302-037</t>
  </si>
  <si>
    <t>INV-2302-038</t>
  </si>
  <si>
    <t>INV-2302-039</t>
  </si>
  <si>
    <t>INV-2302-040</t>
  </si>
  <si>
    <t>INV-2302-041</t>
  </si>
  <si>
    <t>INV-2302-042</t>
  </si>
  <si>
    <t>INV-2302-043</t>
  </si>
  <si>
    <t>INV-2302-044</t>
  </si>
  <si>
    <t>INV-2302-045</t>
  </si>
  <si>
    <t>INV-2302-046</t>
  </si>
  <si>
    <t>INV-2302-047</t>
  </si>
  <si>
    <t>INV-2302-048</t>
  </si>
  <si>
    <t>INV-2302-049</t>
  </si>
  <si>
    <t>INV-2302-050</t>
  </si>
  <si>
    <t>INV-2302-051</t>
  </si>
  <si>
    <t>INV-2302-052</t>
  </si>
  <si>
    <t>INV-2302-053</t>
  </si>
  <si>
    <t>INV-2302-054</t>
  </si>
  <si>
    <t>INV-2302-055</t>
  </si>
  <si>
    <t>INV-2302-056</t>
  </si>
  <si>
    <t>INV-2303-057</t>
  </si>
  <si>
    <t>INV-2303-058</t>
  </si>
  <si>
    <t>INV-2303-059</t>
  </si>
  <si>
    <t>INV-2303-060</t>
  </si>
  <si>
    <t>INV-2303-061</t>
  </si>
  <si>
    <t>INV-2303-062</t>
  </si>
  <si>
    <t>INV-2303-063</t>
  </si>
  <si>
    <t>INV-2303-064</t>
  </si>
  <si>
    <t>INV-2303-065</t>
  </si>
  <si>
    <t>INV-2303-066</t>
  </si>
  <si>
    <t>INV-2303-067</t>
  </si>
  <si>
    <t>INV-2303-068</t>
  </si>
  <si>
    <t>INV-2303-069</t>
  </si>
  <si>
    <t>INV-2303-070</t>
  </si>
  <si>
    <t>INV-2303-071</t>
  </si>
  <si>
    <t>INV-2303-072</t>
  </si>
  <si>
    <t>INV-2303-073</t>
  </si>
  <si>
    <t>INV-2303-074</t>
  </si>
  <si>
    <t>INV-2303-075</t>
  </si>
  <si>
    <t>INV-2303-076</t>
  </si>
  <si>
    <t>INV-2303-077</t>
  </si>
  <si>
    <t>INV-2303-078</t>
  </si>
  <si>
    <t>INV-2303-079</t>
  </si>
  <si>
    <t>INV-2303-080</t>
  </si>
  <si>
    <t>INV-2303-081</t>
  </si>
  <si>
    <t>INV-2303-082</t>
  </si>
  <si>
    <t>INV-2303-083</t>
  </si>
  <si>
    <t>INV-2303-084</t>
  </si>
  <si>
    <t>INV-2303-085</t>
  </si>
  <si>
    <t>INV-2303-086</t>
  </si>
  <si>
    <t>INV-2303-087</t>
  </si>
  <si>
    <t>INV-2304-088</t>
  </si>
  <si>
    <t>INV-2304-089</t>
  </si>
  <si>
    <t>INV-2304-090</t>
  </si>
  <si>
    <t>INV-2304-091</t>
  </si>
  <si>
    <t>INV-2304-092</t>
  </si>
  <si>
    <t>INV-2304-093</t>
  </si>
  <si>
    <t>INV-2304-094</t>
  </si>
  <si>
    <t>INV-2304-095</t>
  </si>
  <si>
    <t>INV-2304-096</t>
  </si>
  <si>
    <t>INV-2304-097</t>
  </si>
  <si>
    <t>INV-2304-098</t>
  </si>
  <si>
    <t>INV-2304-099</t>
  </si>
  <si>
    <t>INV-2304-100</t>
  </si>
  <si>
    <t>INV-2304-101</t>
  </si>
  <si>
    <t>INV-2304-102</t>
  </si>
  <si>
    <t>INV-2304-103</t>
  </si>
  <si>
    <t>INV-2304-104</t>
  </si>
  <si>
    <t>INV-2304-105</t>
  </si>
  <si>
    <t>INV-2304-106</t>
  </si>
  <si>
    <t>INV-2304-107</t>
  </si>
  <si>
    <t>INV-2304-108</t>
  </si>
  <si>
    <t>INV-2304-109</t>
  </si>
  <si>
    <t>INV-2304-110</t>
  </si>
  <si>
    <t>INV-2304-111</t>
  </si>
  <si>
    <t>INV-2304-112</t>
  </si>
  <si>
    <t>INV-2304-113</t>
  </si>
  <si>
    <t>INV-2304-114</t>
  </si>
  <si>
    <t>INV-2304-115</t>
  </si>
  <si>
    <t>INV-2304-116</t>
  </si>
  <si>
    <t>INV-2304-117</t>
  </si>
  <si>
    <t>INV-2305-118</t>
  </si>
  <si>
    <t>INV-2305-119</t>
  </si>
  <si>
    <t>INV-2305-120</t>
  </si>
  <si>
    <t>INV-2305-121</t>
  </si>
  <si>
    <t>INV-2305-122</t>
  </si>
  <si>
    <t>INV-2305-123</t>
  </si>
  <si>
    <t>INV-2305-124</t>
  </si>
  <si>
    <t>INV-2305-125</t>
  </si>
  <si>
    <t>INV-2305-126</t>
  </si>
  <si>
    <t>INV-2305-127</t>
  </si>
  <si>
    <t>INV-2305-128</t>
  </si>
  <si>
    <t>INV-2305-129</t>
  </si>
  <si>
    <t>INV-2305-130</t>
  </si>
  <si>
    <t>INV-2305-131</t>
  </si>
  <si>
    <t>INV-2305-132</t>
  </si>
  <si>
    <t>INV-2305-133</t>
  </si>
  <si>
    <t>INV-2305-134</t>
  </si>
  <si>
    <t>INV-2305-135</t>
  </si>
  <si>
    <t>INV-2305-136</t>
  </si>
  <si>
    <t>INV-2305-137</t>
  </si>
  <si>
    <t>INV-2305-138</t>
  </si>
  <si>
    <t>INV-2305-139</t>
  </si>
  <si>
    <t>INV-2305-140</t>
  </si>
  <si>
    <t>INV-2305-141</t>
  </si>
  <si>
    <t>INV-2305-142</t>
  </si>
  <si>
    <t>INV-2305-143</t>
  </si>
  <si>
    <t>INV-2305-144</t>
  </si>
  <si>
    <t>INV-2305-145</t>
  </si>
  <si>
    <t>INV-2305-146</t>
  </si>
  <si>
    <t>INV-2305-147</t>
  </si>
  <si>
    <t>INV-2305-148</t>
  </si>
  <si>
    <t>INV-2306-149</t>
  </si>
  <si>
    <t>INV-2306-150</t>
  </si>
  <si>
    <t>INV-2306-151</t>
  </si>
  <si>
    <t>INV-2306-152</t>
  </si>
  <si>
    <t>INV-2306-153</t>
  </si>
  <si>
    <t>INV-2306-154</t>
  </si>
  <si>
    <t>INV-2306-155</t>
  </si>
  <si>
    <t>INV-2306-156</t>
  </si>
  <si>
    <t>INV-2306-157</t>
  </si>
  <si>
    <t>INV-2306-158</t>
  </si>
  <si>
    <t>INV-2306-159</t>
  </si>
  <si>
    <t>INV-2306-160</t>
  </si>
  <si>
    <t>INV-2306-161</t>
  </si>
  <si>
    <t>INV-2306-162</t>
  </si>
  <si>
    <t>INV-2306-163</t>
  </si>
  <si>
    <t>INV-2306-164</t>
  </si>
  <si>
    <t>INV-2306-165</t>
  </si>
  <si>
    <t>INV-2306-166</t>
  </si>
  <si>
    <t>INV-2306-167</t>
  </si>
  <si>
    <t>INV-2306-168</t>
  </si>
  <si>
    <t>INV-2306-169</t>
  </si>
  <si>
    <t>INV-2306-170</t>
  </si>
  <si>
    <t>INV-2306-171</t>
  </si>
  <si>
    <t>INV-2306-172</t>
  </si>
  <si>
    <t>INV-2306-173</t>
  </si>
  <si>
    <t>INV-2306-174</t>
  </si>
  <si>
    <t>INV-2306-175</t>
  </si>
  <si>
    <t>INV-2306-176</t>
  </si>
  <si>
    <t>INV-2306-177</t>
  </si>
  <si>
    <t>INV-2306-178</t>
  </si>
  <si>
    <t>INV-2307-179</t>
  </si>
  <si>
    <t>INV-2307-180</t>
  </si>
  <si>
    <t>INV-2307-181</t>
  </si>
  <si>
    <t>INV-2307-182</t>
  </si>
  <si>
    <t>INV-2307-183</t>
  </si>
  <si>
    <t>INV-2307-184</t>
  </si>
  <si>
    <t>INV-2307-185</t>
  </si>
  <si>
    <t>INV-2307-186</t>
  </si>
  <si>
    <t>INV-2307-187</t>
  </si>
  <si>
    <t>INV-2307-188</t>
  </si>
  <si>
    <t>INV-2307-189</t>
  </si>
  <si>
    <t>INV-2307-190</t>
  </si>
  <si>
    <t>INV-2307-191</t>
  </si>
  <si>
    <t>INV-2307-192</t>
  </si>
  <si>
    <t>INV-2307-193</t>
  </si>
  <si>
    <t>INV-2307-194</t>
  </si>
  <si>
    <t>INV-2307-195</t>
  </si>
  <si>
    <t>INV-2307-196</t>
  </si>
  <si>
    <t>INV-2307-197</t>
  </si>
  <si>
    <t>INV-2307-198</t>
  </si>
  <si>
    <t>INV-2307-199</t>
  </si>
  <si>
    <t>INV-2307-200</t>
  </si>
  <si>
    <t>INV-2307-201</t>
  </si>
  <si>
    <t>INV-2307-202</t>
  </si>
  <si>
    <t>INV-2307-203</t>
  </si>
  <si>
    <t>INV-2307-204</t>
  </si>
  <si>
    <t>INV-2307-205</t>
  </si>
  <si>
    <t>INV-2307-206</t>
  </si>
  <si>
    <t>INV-2307-207</t>
  </si>
  <si>
    <t>INV-2307-208</t>
  </si>
  <si>
    <t>INV-2307-209</t>
  </si>
  <si>
    <t>INV-2308-210</t>
  </si>
  <si>
    <t>INV-2308-211</t>
  </si>
  <si>
    <t>INV-2308-212</t>
  </si>
  <si>
    <t>INV-2308-213</t>
  </si>
  <si>
    <t>INV-2308-214</t>
  </si>
  <si>
    <t>INV-2308-215</t>
  </si>
  <si>
    <t>INV-2308-216</t>
  </si>
  <si>
    <t>INV-2308-217</t>
  </si>
  <si>
    <t>INV-2308-218</t>
  </si>
  <si>
    <t>INV-2308-219</t>
  </si>
  <si>
    <t>INV-2308-220</t>
  </si>
  <si>
    <t>INV-2308-221</t>
  </si>
  <si>
    <t>INV-2308-222</t>
  </si>
  <si>
    <t>INV-2308-223</t>
  </si>
  <si>
    <t>INV-2308-224</t>
  </si>
  <si>
    <t>INV-2308-225</t>
  </si>
  <si>
    <t>INV-2308-226</t>
  </si>
  <si>
    <t>INV-2308-227</t>
  </si>
  <si>
    <t>INV-2308-228</t>
  </si>
  <si>
    <t>INV-2308-229</t>
  </si>
  <si>
    <t>INV-2308-230</t>
  </si>
  <si>
    <t>INV-2308-231</t>
  </si>
  <si>
    <t>INV-2308-232</t>
  </si>
  <si>
    <t>INV-2308-233</t>
  </si>
  <si>
    <t>INV-2308-234</t>
  </si>
  <si>
    <t>INV-2308-235</t>
  </si>
  <si>
    <t>INV-2308-236</t>
  </si>
  <si>
    <t>INV-2308-237</t>
  </si>
  <si>
    <t>INV-2308-238</t>
  </si>
  <si>
    <t>INV-2308-239</t>
  </si>
  <si>
    <t>INV-2308-240</t>
  </si>
  <si>
    <t>INV-2309-241</t>
  </si>
  <si>
    <t>INV-2309-242</t>
  </si>
  <si>
    <t>INV-2309-243</t>
  </si>
  <si>
    <t>INV-2309-244</t>
  </si>
  <si>
    <t>INV-2309-245</t>
  </si>
  <si>
    <t>INV-2309-246</t>
  </si>
  <si>
    <t>INV-2309-247</t>
  </si>
  <si>
    <t>INV-2309-248</t>
  </si>
  <si>
    <t>INV-2309-249</t>
  </si>
  <si>
    <t>INV-2309-250</t>
  </si>
  <si>
    <t>INV-2309-251</t>
  </si>
  <si>
    <t>INV-2309-252</t>
  </si>
  <si>
    <t>INV-2309-253</t>
  </si>
  <si>
    <t>INV-2309-254</t>
  </si>
  <si>
    <t>INV-2309-255</t>
  </si>
  <si>
    <t>INV-2309-256</t>
  </si>
  <si>
    <t>INV-2309-257</t>
  </si>
  <si>
    <t>INV-2309-258</t>
  </si>
  <si>
    <t>INV-2309-259</t>
  </si>
  <si>
    <t>INV-2309-260</t>
  </si>
  <si>
    <t>INV-2309-261</t>
  </si>
  <si>
    <t>INV-2309-262</t>
  </si>
  <si>
    <t>INV-2309-263</t>
  </si>
  <si>
    <t>INV-2309-264</t>
  </si>
  <si>
    <t>INV-2309-265</t>
  </si>
  <si>
    <t>INV-2309-266</t>
  </si>
  <si>
    <t>INV-2309-267</t>
  </si>
  <si>
    <t>INV-2309-268</t>
  </si>
  <si>
    <t>INV-2309-269</t>
  </si>
  <si>
    <t>INV-2309-270</t>
  </si>
  <si>
    <t>INV-2310-271</t>
  </si>
  <si>
    <t>INV-2310-272</t>
  </si>
  <si>
    <t>INV-2310-273</t>
  </si>
  <si>
    <t>INV-2310-274</t>
  </si>
  <si>
    <t>INV-2310-275</t>
  </si>
  <si>
    <t>INV-2310-276</t>
  </si>
  <si>
    <t>INV-2310-277</t>
  </si>
  <si>
    <t>INV-2310-278</t>
  </si>
  <si>
    <t>INV-2310-279</t>
  </si>
  <si>
    <t>INV-2310-280</t>
  </si>
  <si>
    <t>INV-2310-281</t>
  </si>
  <si>
    <t>INV-2310-282</t>
  </si>
  <si>
    <t>INV-2310-283</t>
  </si>
  <si>
    <t>INV-2310-284</t>
  </si>
  <si>
    <t>INV-2310-285</t>
  </si>
  <si>
    <t>INV-2310-286</t>
  </si>
  <si>
    <t>INV-2310-287</t>
  </si>
  <si>
    <t>INV-2310-288</t>
  </si>
  <si>
    <t>INV-2310-289</t>
  </si>
  <si>
    <t>INV-2310-290</t>
  </si>
  <si>
    <t>INV-2310-291</t>
  </si>
  <si>
    <t>INV-2310-292</t>
  </si>
  <si>
    <t>INV-2310-293</t>
  </si>
  <si>
    <t>INV-2310-294</t>
  </si>
  <si>
    <t>INV-2310-295</t>
  </si>
  <si>
    <t>INV-2310-296</t>
  </si>
  <si>
    <t>INV-2310-297</t>
  </si>
  <si>
    <t>INV-2310-298</t>
  </si>
  <si>
    <t>INV-2310-299</t>
  </si>
  <si>
    <t>INV-2310-300</t>
  </si>
  <si>
    <t>INV-2310-301</t>
  </si>
  <si>
    <t>INV-2311-302</t>
  </si>
  <si>
    <t>INV-2311-303</t>
  </si>
  <si>
    <t>INV-2311-304</t>
  </si>
  <si>
    <t>INV-2311-305</t>
  </si>
  <si>
    <t>INV-2311-306</t>
  </si>
  <si>
    <t>INV-2311-307</t>
  </si>
  <si>
    <t>INV-2311-308</t>
  </si>
  <si>
    <t>INV-2311-309</t>
  </si>
  <si>
    <t>INV-2311-310</t>
  </si>
  <si>
    <t>INV-2311-311</t>
  </si>
  <si>
    <t>INV-2311-312</t>
  </si>
  <si>
    <t>INV-2311-313</t>
  </si>
  <si>
    <t>INV-2311-314</t>
  </si>
  <si>
    <t>INV-2311-315</t>
  </si>
  <si>
    <t>INV-2311-316</t>
  </si>
  <si>
    <t>INV-2311-317</t>
  </si>
  <si>
    <t>INV-2311-318</t>
  </si>
  <si>
    <t>INV-2311-319</t>
  </si>
  <si>
    <t>INV-2311-320</t>
  </si>
  <si>
    <t>INV-2311-321</t>
  </si>
  <si>
    <t>INV-2311-322</t>
  </si>
  <si>
    <t>INV-2311-323</t>
  </si>
  <si>
    <t>INV-2311-324</t>
  </si>
  <si>
    <t>INV-2311-325</t>
  </si>
  <si>
    <t>INV-2311-326</t>
  </si>
  <si>
    <t>INV-2311-327</t>
  </si>
  <si>
    <t>INV-2311-328</t>
  </si>
  <si>
    <t>INV-2311-329</t>
  </si>
  <si>
    <t>INV-2311-330</t>
  </si>
  <si>
    <t>INV-2311-331</t>
  </si>
  <si>
    <t>INV-2312-332</t>
  </si>
  <si>
    <t>INV-2312-333</t>
  </si>
  <si>
    <t>INV-2312-334</t>
  </si>
  <si>
    <t>INV-2312-335</t>
  </si>
  <si>
    <t>INV-2312-336</t>
  </si>
  <si>
    <t>INV-2312-337</t>
  </si>
  <si>
    <t>INV-2312-338</t>
  </si>
  <si>
    <t>INV-2312-339</t>
  </si>
  <si>
    <t>INV-2312-340</t>
  </si>
  <si>
    <t>INV-2312-341</t>
  </si>
  <si>
    <t>INV-2312-342</t>
  </si>
  <si>
    <t>INV-2312-343</t>
  </si>
  <si>
    <t>INV-2312-344</t>
  </si>
  <si>
    <t>INV-2312-345</t>
  </si>
  <si>
    <t>INV-2312-346</t>
  </si>
  <si>
    <t>INV-2312-347</t>
  </si>
  <si>
    <t>INV-2312-348</t>
  </si>
  <si>
    <t>INV-2312-349</t>
  </si>
  <si>
    <t>INV-2312-350</t>
  </si>
  <si>
    <t>INV-2312-351</t>
  </si>
  <si>
    <t>INV-2312-352</t>
  </si>
  <si>
    <t>INV-2312-353</t>
  </si>
  <si>
    <t>INV-2312-354</t>
  </si>
  <si>
    <t>INV-2312-355</t>
  </si>
  <si>
    <t>INV-2312-356</t>
  </si>
  <si>
    <t>INV-2312-357</t>
  </si>
  <si>
    <t>INV-2312-358</t>
  </si>
  <si>
    <t>INV-2312-359</t>
  </si>
  <si>
    <t>INV-2312-360</t>
  </si>
  <si>
    <t>INV-2312-361</t>
  </si>
  <si>
    <t>INV-2312-362</t>
  </si>
  <si>
    <t>INV-2401-363</t>
  </si>
  <si>
    <t>INV-2401-364</t>
  </si>
  <si>
    <t>INV-2401-365</t>
  </si>
  <si>
    <t>INV-2401-366</t>
  </si>
  <si>
    <t>INV-2401-367</t>
  </si>
  <si>
    <t>INV-2401-368</t>
  </si>
  <si>
    <t>INV-2401-369</t>
  </si>
  <si>
    <t>INV-2401-370</t>
  </si>
  <si>
    <t>INV-2401-371</t>
  </si>
  <si>
    <t>INV-2401-372</t>
  </si>
  <si>
    <t>INV-2401-373</t>
  </si>
  <si>
    <t>INV-2401-374</t>
  </si>
  <si>
    <t>INV-2401-375</t>
  </si>
  <si>
    <t>INV-2401-376</t>
  </si>
  <si>
    <t>INV-2401-377</t>
  </si>
  <si>
    <t>INV-2401-378</t>
  </si>
  <si>
    <t>INV-2401-379</t>
  </si>
  <si>
    <t>INV-2401-380</t>
  </si>
  <si>
    <t>INV-2401-381</t>
  </si>
  <si>
    <t>INV-2401-382</t>
  </si>
  <si>
    <t>INV-2401-383</t>
  </si>
  <si>
    <t>INV-2401-384</t>
  </si>
  <si>
    <t>INV-2401-385</t>
  </si>
  <si>
    <t>INV-2401-386</t>
  </si>
  <si>
    <t>INV-2401-387</t>
  </si>
  <si>
    <t>INV-2401-388</t>
  </si>
  <si>
    <t>INV-2401-389</t>
  </si>
  <si>
    <t>INV-2401-390</t>
  </si>
  <si>
    <t>INV-2401-391</t>
  </si>
  <si>
    <t>INV-2401-392</t>
  </si>
  <si>
    <t>INV-2401-393</t>
  </si>
  <si>
    <t>INV-2402-394</t>
  </si>
  <si>
    <t>INV-2402-395</t>
  </si>
  <si>
    <t>INV-2402-396</t>
  </si>
  <si>
    <t>INV-2402-397</t>
  </si>
  <si>
    <t>INV-2402-398</t>
  </si>
  <si>
    <t>INV-2402-399</t>
  </si>
  <si>
    <t>INV-2402-400</t>
  </si>
  <si>
    <t>INV-2402-401</t>
  </si>
  <si>
    <t>INV-2402-402</t>
  </si>
  <si>
    <t>INV-2402-403</t>
  </si>
  <si>
    <t>INV-2402-404</t>
  </si>
  <si>
    <t>INV-2402-405</t>
  </si>
  <si>
    <t>INV-2402-406</t>
  </si>
  <si>
    <t>INV-2402-407</t>
  </si>
  <si>
    <t>INV-2402-408</t>
  </si>
  <si>
    <t>INV-2402-409</t>
  </si>
  <si>
    <t>INV-2402-410</t>
  </si>
  <si>
    <t>INV-2402-411</t>
  </si>
  <si>
    <t>INV-2402-412</t>
  </si>
  <si>
    <t>INV-2402-413</t>
  </si>
  <si>
    <t>INV-2402-414</t>
  </si>
  <si>
    <t>INV-2402-415</t>
  </si>
  <si>
    <t>INV-2402-416</t>
  </si>
  <si>
    <t>INV-2402-417</t>
  </si>
  <si>
    <t>INV-2402-418</t>
  </si>
  <si>
    <t>INV-2402-419</t>
  </si>
  <si>
    <t>INV-2402-420</t>
  </si>
  <si>
    <t>INV-2402-421</t>
  </si>
  <si>
    <t>INV-2402-422</t>
  </si>
  <si>
    <t>INV-2403-423</t>
  </si>
  <si>
    <t>INV-2403-424</t>
  </si>
  <si>
    <t>INV-2403-425</t>
  </si>
  <si>
    <t>INV-2403-426</t>
  </si>
  <si>
    <t>INV-2403-427</t>
  </si>
  <si>
    <t>INV-2403-428</t>
  </si>
  <si>
    <t>INV-2403-429</t>
  </si>
  <si>
    <t>INV-2403-430</t>
  </si>
  <si>
    <t>INV-2403-431</t>
  </si>
  <si>
    <t>INV-2403-432</t>
  </si>
  <si>
    <t>INV-2403-433</t>
  </si>
  <si>
    <t>INV-2403-434</t>
  </si>
  <si>
    <t>INV-2403-435</t>
  </si>
  <si>
    <t>INV-2403-436</t>
  </si>
  <si>
    <t>INV-2403-437</t>
  </si>
  <si>
    <t>INV-2403-438</t>
  </si>
  <si>
    <t>INV-2403-439</t>
  </si>
  <si>
    <t>INV-2403-440</t>
  </si>
  <si>
    <t>INV-2403-441</t>
  </si>
  <si>
    <t>INV-2403-442</t>
  </si>
  <si>
    <t>INV-2403-443</t>
  </si>
  <si>
    <t>INV-2403-444</t>
  </si>
  <si>
    <t>INV-2403-445</t>
  </si>
  <si>
    <t>INV-2403-446</t>
  </si>
  <si>
    <t>INV-2403-447</t>
  </si>
  <si>
    <t>INV-2403-448</t>
  </si>
  <si>
    <t>INV-2403-449</t>
  </si>
  <si>
    <t>INV-2403-450</t>
  </si>
  <si>
    <t>INV-2403-451</t>
  </si>
  <si>
    <t>INV-2403-452</t>
  </si>
  <si>
    <t>INV-2403-453</t>
  </si>
  <si>
    <t>INV-2404-454</t>
  </si>
  <si>
    <t>INV-2404-455</t>
  </si>
  <si>
    <t>INV-2404-456</t>
  </si>
  <si>
    <t>INV-2404-457</t>
  </si>
  <si>
    <t>INV-2404-458</t>
  </si>
  <si>
    <t>INV-2404-459</t>
  </si>
  <si>
    <t>INV-2404-460</t>
  </si>
  <si>
    <t>INV-2404-461</t>
  </si>
  <si>
    <t>INV-2404-462</t>
  </si>
  <si>
    <t>INV-2404-463</t>
  </si>
  <si>
    <t>INV-2404-464</t>
  </si>
  <si>
    <t>INV-2404-465</t>
  </si>
  <si>
    <t>INV-2404-466</t>
  </si>
  <si>
    <t>INV-2404-467</t>
  </si>
  <si>
    <t>INV-2404-468</t>
  </si>
  <si>
    <t>INV-2404-469</t>
  </si>
  <si>
    <t>INV-2404-470</t>
  </si>
  <si>
    <t>INV-2404-471</t>
  </si>
  <si>
    <t>INV-2404-472</t>
  </si>
  <si>
    <t>INV-2404-473</t>
  </si>
  <si>
    <t>INV-2404-474</t>
  </si>
  <si>
    <t>INV-2404-475</t>
  </si>
  <si>
    <t>INV-2404-476</t>
  </si>
  <si>
    <t>INV-2404-477</t>
  </si>
  <si>
    <t>INV-2404-478</t>
  </si>
  <si>
    <t>INV-2404-479</t>
  </si>
  <si>
    <t>INV-2404-480</t>
  </si>
  <si>
    <t>INV-2404-481</t>
  </si>
  <si>
    <t>INV-2404-482</t>
  </si>
  <si>
    <t>INV-2404-483</t>
  </si>
  <si>
    <t>INV-2405-484</t>
  </si>
  <si>
    <t>INV-2405-485</t>
  </si>
  <si>
    <t>INV-2405-486</t>
  </si>
  <si>
    <t>INV-2405-487</t>
  </si>
  <si>
    <t>INV-2405-488</t>
  </si>
  <si>
    <t>INV-2405-489</t>
  </si>
  <si>
    <t>INV-2405-490</t>
  </si>
  <si>
    <t>INV-2405-491</t>
  </si>
  <si>
    <t>INV-2405-492</t>
  </si>
  <si>
    <t>INV-2405-493</t>
  </si>
  <si>
    <t>INV-2405-494</t>
  </si>
  <si>
    <t>INV-2405-495</t>
  </si>
  <si>
    <t>INV-2405-496</t>
  </si>
  <si>
    <t>INV-2405-497</t>
  </si>
  <si>
    <t>INV-2405-498</t>
  </si>
  <si>
    <t>INV-2405-499</t>
  </si>
  <si>
    <t>INV-2405-500</t>
  </si>
  <si>
    <t>INV-2405-501</t>
  </si>
  <si>
    <t>INV-2405-502</t>
  </si>
  <si>
    <t>INV-2405-503</t>
  </si>
  <si>
    <t>INV-2405-504</t>
  </si>
  <si>
    <t>INV-2405-505</t>
  </si>
  <si>
    <t>INV-2405-506</t>
  </si>
  <si>
    <t>INV-2405-507</t>
  </si>
  <si>
    <t>INV-2405-508</t>
  </si>
  <si>
    <t>INV-2405-509</t>
  </si>
  <si>
    <t>INV-2405-510</t>
  </si>
  <si>
    <t>INV-2405-511</t>
  </si>
  <si>
    <t>INV-2405-512</t>
  </si>
  <si>
    <t>INV-2405-513</t>
  </si>
  <si>
    <t>INV-2405-514</t>
  </si>
  <si>
    <t>INV-2406-515</t>
  </si>
  <si>
    <t>INV-2406-516</t>
  </si>
  <si>
    <t>INV-2406-517</t>
  </si>
  <si>
    <t>INV-2406-518</t>
  </si>
  <si>
    <t>INV-2406-519</t>
  </si>
  <si>
    <t>INV-2406-520</t>
  </si>
  <si>
    <t>INV-2406-521</t>
  </si>
  <si>
    <t>INV-2406-522</t>
  </si>
  <si>
    <t>INV-2406-523</t>
  </si>
  <si>
    <t>INV-2406-524</t>
  </si>
  <si>
    <t>INV-2406-525</t>
  </si>
  <si>
    <t>INV-2406-526</t>
  </si>
  <si>
    <t>INV-2406-527</t>
  </si>
  <si>
    <t>INV-2406-528</t>
  </si>
  <si>
    <t>INV-2406-529</t>
  </si>
  <si>
    <t>INV-2406-530</t>
  </si>
  <si>
    <t>INV-2406-531</t>
  </si>
  <si>
    <t>INV-2406-532</t>
  </si>
  <si>
    <t>INV-2406-533</t>
  </si>
  <si>
    <t>INV-2406-534</t>
  </si>
  <si>
    <t>INV-2406-535</t>
  </si>
  <si>
    <t>INV-2406-536</t>
  </si>
  <si>
    <t>INV-2406-537</t>
  </si>
  <si>
    <t>INV-2406-538</t>
  </si>
  <si>
    <t>INV-2406-539</t>
  </si>
  <si>
    <t>INV-2406-540</t>
  </si>
  <si>
    <t>INV-2406-541</t>
  </si>
  <si>
    <t>INV-2406-542</t>
  </si>
  <si>
    <t>INV-2406-543</t>
  </si>
  <si>
    <t>INV-2406-544</t>
  </si>
  <si>
    <t>INV-2407-545</t>
  </si>
  <si>
    <t>INV-2407-546</t>
  </si>
  <si>
    <t>INV-2407-547</t>
  </si>
  <si>
    <t>INV-2407-548</t>
  </si>
  <si>
    <t>INV-2407-549</t>
  </si>
  <si>
    <t>INV-2407-550</t>
  </si>
  <si>
    <t>INV-2407-551</t>
  </si>
  <si>
    <t>INV-2407-552</t>
  </si>
  <si>
    <t>INV-2407-553</t>
  </si>
  <si>
    <t>INV-2407-554</t>
  </si>
  <si>
    <t>INV-2407-555</t>
  </si>
  <si>
    <t>INV-2407-556</t>
  </si>
  <si>
    <t>INV-2407-557</t>
  </si>
  <si>
    <t>INV-2407-558</t>
  </si>
  <si>
    <t>INV-2407-559</t>
  </si>
  <si>
    <t>INV-2407-560</t>
  </si>
  <si>
    <t>INV-2407-561</t>
  </si>
  <si>
    <t>INV-2407-562</t>
  </si>
  <si>
    <t>INV-2407-563</t>
  </si>
  <si>
    <t>INV-2407-564</t>
  </si>
  <si>
    <t>INV-2407-565</t>
  </si>
  <si>
    <t>INV-2407-566</t>
  </si>
  <si>
    <t>INV-2407-567</t>
  </si>
  <si>
    <t>INV-2407-568</t>
  </si>
  <si>
    <t>INV-2407-569</t>
  </si>
  <si>
    <t>INV-2407-570</t>
  </si>
  <si>
    <t>INV-2407-571</t>
  </si>
  <si>
    <t>INV-2407-572</t>
  </si>
  <si>
    <t>INV-2407-573</t>
  </si>
  <si>
    <t>INV-2407-574</t>
  </si>
  <si>
    <t>INV-2407-575</t>
  </si>
  <si>
    <t>INV-2408-576</t>
  </si>
  <si>
    <t>INV-2408-577</t>
  </si>
  <si>
    <t>INV-2408-578</t>
  </si>
  <si>
    <t>INV-2408-579</t>
  </si>
  <si>
    <t>INV-2408-580</t>
  </si>
  <si>
    <t>INV-2408-581</t>
  </si>
  <si>
    <t>INV-2408-582</t>
  </si>
  <si>
    <t>INV-2408-583</t>
  </si>
  <si>
    <t>INV-2408-584</t>
  </si>
  <si>
    <t>INV-2408-585</t>
  </si>
  <si>
    <t>INV-2408-586</t>
  </si>
  <si>
    <t>INV-2408-587</t>
  </si>
  <si>
    <t>INV-2408-588</t>
  </si>
  <si>
    <t>INV-2408-589</t>
  </si>
  <si>
    <t>INV-2408-590</t>
  </si>
  <si>
    <t>INV-2408-591</t>
  </si>
  <si>
    <t>INV-2408-592</t>
  </si>
  <si>
    <t>INV-2408-593</t>
  </si>
  <si>
    <t>INV-2408-594</t>
  </si>
  <si>
    <t>INV-2408-595</t>
  </si>
  <si>
    <t>INV-2408-596</t>
  </si>
  <si>
    <t>INV-2408-597</t>
  </si>
  <si>
    <t>INV-2408-598</t>
  </si>
  <si>
    <t>INV-2408-599</t>
  </si>
  <si>
    <t>INV-2408-600</t>
  </si>
  <si>
    <t>INV-2408-601</t>
  </si>
  <si>
    <t>INV-2408-602</t>
  </si>
  <si>
    <t>INV-2408-603</t>
  </si>
  <si>
    <t>INV-2408-604</t>
  </si>
  <si>
    <t>INV-2408-605</t>
  </si>
  <si>
    <t>INV-2408-606</t>
  </si>
  <si>
    <t>INV-2409-607</t>
  </si>
  <si>
    <t>INV-2409-608</t>
  </si>
  <si>
    <t>INV-2409-609</t>
  </si>
  <si>
    <t>INV-2409-610</t>
  </si>
  <si>
    <t>INV-2409-611</t>
  </si>
  <si>
    <t>INV-2409-612</t>
  </si>
  <si>
    <t>INV-2409-613</t>
  </si>
  <si>
    <t>INV-2409-614</t>
  </si>
  <si>
    <t>INV-2409-615</t>
  </si>
  <si>
    <t>INV-2409-616</t>
  </si>
  <si>
    <t>INV-2409-617</t>
  </si>
  <si>
    <t>INV-2409-618</t>
  </si>
  <si>
    <t>INV-2409-619</t>
  </si>
  <si>
    <t>INV-2409-620</t>
  </si>
  <si>
    <t>INV-2409-621</t>
  </si>
  <si>
    <t>INV-2409-622</t>
  </si>
  <si>
    <t>INV-2409-623</t>
  </si>
  <si>
    <t>INV-2409-624</t>
  </si>
  <si>
    <t>INV-2409-625</t>
  </si>
  <si>
    <t>INV-2409-626</t>
  </si>
  <si>
    <t>INV-2409-627</t>
  </si>
  <si>
    <t>INV-2409-628</t>
  </si>
  <si>
    <t>INV-2409-629</t>
  </si>
  <si>
    <t>INV-2409-630</t>
  </si>
  <si>
    <t>INV-2409-631</t>
  </si>
  <si>
    <t>INV-2409-632</t>
  </si>
  <si>
    <t>INV-2409-633</t>
  </si>
  <si>
    <t>INV-2409-634</t>
  </si>
  <si>
    <t>INV-2409-635</t>
  </si>
  <si>
    <t>INV-2409-636</t>
  </si>
  <si>
    <t>INV-2410-637</t>
  </si>
  <si>
    <t>INV-2410-638</t>
  </si>
  <si>
    <t>INV-2410-639</t>
  </si>
  <si>
    <t>INV-2410-640</t>
  </si>
  <si>
    <t>INV-2410-641</t>
  </si>
  <si>
    <t>INV-2410-642</t>
  </si>
  <si>
    <t>INV-2410-643</t>
  </si>
  <si>
    <t>INV-2410-644</t>
  </si>
  <si>
    <t>INV-2410-645</t>
  </si>
  <si>
    <t>INV-2410-646</t>
  </si>
  <si>
    <t>INV-2410-647</t>
  </si>
  <si>
    <t>INV-2410-648</t>
  </si>
  <si>
    <t>INV-2410-649</t>
  </si>
  <si>
    <t>INV-2410-650</t>
  </si>
  <si>
    <t>INV-2410-651</t>
  </si>
  <si>
    <t>INV-2410-652</t>
  </si>
  <si>
    <t>INV-2410-653</t>
  </si>
  <si>
    <t>INV-2410-654</t>
  </si>
  <si>
    <t>INV-2410-655</t>
  </si>
  <si>
    <t>INV-2410-656</t>
  </si>
  <si>
    <t>INV-2410-657</t>
  </si>
  <si>
    <t>INV-2410-658</t>
  </si>
  <si>
    <t>INV-2410-659</t>
  </si>
  <si>
    <t>INV-2410-660</t>
  </si>
  <si>
    <t>INV-2410-661</t>
  </si>
  <si>
    <t>INV-2410-662</t>
  </si>
  <si>
    <t>INV-2410-663</t>
  </si>
  <si>
    <t>INV-2410-664</t>
  </si>
  <si>
    <t>INV-2410-665</t>
  </si>
  <si>
    <t>INV-2410-666</t>
  </si>
  <si>
    <t>INV-2410-667</t>
  </si>
  <si>
    <t>INV-2411-668</t>
  </si>
  <si>
    <t>INV-2411-669</t>
  </si>
  <si>
    <t>INV-2411-670</t>
  </si>
  <si>
    <t>INV-2411-671</t>
  </si>
  <si>
    <t>INV-2411-672</t>
  </si>
  <si>
    <t>INV-2411-673</t>
  </si>
  <si>
    <t>INV-2411-674</t>
  </si>
  <si>
    <t>INV-2411-675</t>
  </si>
  <si>
    <t>INV-2411-676</t>
  </si>
  <si>
    <t>INV-2411-677</t>
  </si>
  <si>
    <t>INV-2411-678</t>
  </si>
  <si>
    <t>INV-2411-679</t>
  </si>
  <si>
    <t>INV-2411-680</t>
  </si>
  <si>
    <t>INV-2411-681</t>
  </si>
  <si>
    <t>INV-2411-682</t>
  </si>
  <si>
    <t>INV-2411-683</t>
  </si>
  <si>
    <t>INV-2411-684</t>
  </si>
  <si>
    <t>INV-2411-685</t>
  </si>
  <si>
    <t>INV-2411-686</t>
  </si>
  <si>
    <t>INV-2411-687</t>
  </si>
  <si>
    <t>INV-2411-688</t>
  </si>
  <si>
    <t>INV-2411-689</t>
  </si>
  <si>
    <t>INV-2411-690</t>
  </si>
  <si>
    <t>INV-2411-691</t>
  </si>
  <si>
    <t>INV-2411-692</t>
  </si>
  <si>
    <t>INV-2411-693</t>
  </si>
  <si>
    <t>INV-2411-694</t>
  </si>
  <si>
    <t>INV-2411-695</t>
  </si>
  <si>
    <t>INV-2411-696</t>
  </si>
  <si>
    <t>INV-2411-697</t>
  </si>
  <si>
    <t>INV-2412-698</t>
  </si>
  <si>
    <t>INV-2412-699</t>
  </si>
  <si>
    <t>INV-2412-700</t>
  </si>
  <si>
    <t>INV-2412-701</t>
  </si>
  <si>
    <t>INV-2412-702</t>
  </si>
  <si>
    <t>INV-2412-703</t>
  </si>
  <si>
    <t>INV-2412-704</t>
  </si>
  <si>
    <t>INV-2412-705</t>
  </si>
  <si>
    <t>INV-2412-706</t>
  </si>
  <si>
    <t>INV-2412-707</t>
  </si>
  <si>
    <t>INV-2412-708</t>
  </si>
  <si>
    <t>INV-2412-709</t>
  </si>
  <si>
    <t>INV-2412-710</t>
  </si>
  <si>
    <t>INV-2412-711</t>
  </si>
  <si>
    <t>INV-2412-712</t>
  </si>
  <si>
    <t>INV-2412-713</t>
  </si>
  <si>
    <t>INV-2412-714</t>
  </si>
  <si>
    <t>INV-2412-715</t>
  </si>
  <si>
    <t>INV-2412-716</t>
  </si>
  <si>
    <t>INV-2412-717</t>
  </si>
  <si>
    <t>INV-2412-718</t>
  </si>
  <si>
    <t>INV-2412-719</t>
  </si>
  <si>
    <t>INV-2412-720</t>
  </si>
  <si>
    <t>INV-2412-721</t>
  </si>
  <si>
    <t>INV-2412-722</t>
  </si>
  <si>
    <t>INV-2412-723</t>
  </si>
  <si>
    <t>INV-2412-724</t>
  </si>
  <si>
    <t>INV-2412-725</t>
  </si>
  <si>
    <t>INV-2412-726</t>
  </si>
  <si>
    <t>INV-2412-727</t>
  </si>
  <si>
    <t>INV-2412-728</t>
  </si>
  <si>
    <t>INV-2501-729</t>
  </si>
  <si>
    <t>INV-2501-730</t>
  </si>
  <si>
    <t>INV-2501-731</t>
  </si>
  <si>
    <t>INV-2501-732</t>
  </si>
  <si>
    <t>INV-2501-733</t>
  </si>
  <si>
    <t>INV-2501-734</t>
  </si>
  <si>
    <t>INV-2501-735</t>
  </si>
  <si>
    <t>INV-2501-736</t>
  </si>
  <si>
    <t>INV-2501-737</t>
  </si>
  <si>
    <t>INV-2501-738</t>
  </si>
  <si>
    <t>INV-2501-739</t>
  </si>
  <si>
    <t>INV-2501-740</t>
  </si>
  <si>
    <t>INV-2501-741</t>
  </si>
  <si>
    <t>INV-2501-742</t>
  </si>
  <si>
    <t>INV-2501-743</t>
  </si>
  <si>
    <t>INV-2501-744</t>
  </si>
  <si>
    <t>INV-2501-745</t>
  </si>
  <si>
    <t>INV-2501-746</t>
  </si>
  <si>
    <t>INV-2501-747</t>
  </si>
  <si>
    <t>INV-2501-748</t>
  </si>
  <si>
    <t>INV-2501-749</t>
  </si>
  <si>
    <t>INV-2501-750</t>
  </si>
  <si>
    <t>INV-2501-751</t>
  </si>
  <si>
    <t>INV-2501-752</t>
  </si>
  <si>
    <t>INV-2501-753</t>
  </si>
  <si>
    <t>INV-2501-754</t>
  </si>
  <si>
    <t>INV-2501-755</t>
  </si>
  <si>
    <t>INV-2501-756</t>
  </si>
  <si>
    <t>INV-2501-757</t>
  </si>
  <si>
    <t>INV-2501-758</t>
  </si>
  <si>
    <t>INV-2501-759</t>
  </si>
  <si>
    <t>INV-2502-760</t>
  </si>
  <si>
    <t>INV-2502-761</t>
  </si>
  <si>
    <t>INV-2502-762</t>
  </si>
  <si>
    <t>INV-2502-763</t>
  </si>
  <si>
    <t>INV-2502-764</t>
  </si>
  <si>
    <t>INV-2502-765</t>
  </si>
  <si>
    <t>INV-2502-766</t>
  </si>
  <si>
    <t>INV-2502-767</t>
  </si>
  <si>
    <t>INV-2502-768</t>
  </si>
  <si>
    <t>INV-2502-769</t>
  </si>
  <si>
    <t>INV-2502-770</t>
  </si>
  <si>
    <t>INV-2502-771</t>
  </si>
  <si>
    <t>INV-2502-772</t>
  </si>
  <si>
    <t>INV-2502-773</t>
  </si>
  <si>
    <t>INV-2502-774</t>
  </si>
  <si>
    <t>INV-2502-775</t>
  </si>
  <si>
    <t>INV-2502-776</t>
  </si>
  <si>
    <t>INV-2502-777</t>
  </si>
  <si>
    <t>INV-2502-778</t>
  </si>
  <si>
    <t>INV-2502-779</t>
  </si>
  <si>
    <t>INV-2502-780</t>
  </si>
  <si>
    <t>INV-2502-781</t>
  </si>
  <si>
    <t>INV-2502-782</t>
  </si>
  <si>
    <t>INV-2502-783</t>
  </si>
  <si>
    <t>INV-2502-784</t>
  </si>
  <si>
    <t>INV-2502-785</t>
  </si>
  <si>
    <t>INV-2502-786</t>
  </si>
  <si>
    <t>INV-2502-787</t>
  </si>
  <si>
    <t>INV-2503-788</t>
  </si>
  <si>
    <t>INV-2503-789</t>
  </si>
  <si>
    <t>INV-2503-790</t>
  </si>
  <si>
    <t>INV-2503-791</t>
  </si>
  <si>
    <t>INV-2503-792</t>
  </si>
  <si>
    <t>INV-2503-793</t>
  </si>
  <si>
    <t>INV-2503-794</t>
  </si>
  <si>
    <t>INV-2503-795</t>
  </si>
  <si>
    <t>INV-2503-796</t>
  </si>
  <si>
    <t>INV-2503-797</t>
  </si>
  <si>
    <t>INV-2503-798</t>
  </si>
  <si>
    <t>INV-2503-799</t>
  </si>
  <si>
    <t>INV-2503-800</t>
  </si>
  <si>
    <t>INV-2503-801</t>
  </si>
  <si>
    <t>INV-2503-802</t>
  </si>
  <si>
    <t>INV-2503-803</t>
  </si>
  <si>
    <t>INV-2503-804</t>
  </si>
  <si>
    <t>INV-2503-805</t>
  </si>
  <si>
    <t>INV-2503-806</t>
  </si>
  <si>
    <t>INV-2503-807</t>
  </si>
  <si>
    <t>INV-2503-808</t>
  </si>
  <si>
    <t>INV-2503-809</t>
  </si>
  <si>
    <t>INV-2503-810</t>
  </si>
  <si>
    <t>INV-2503-811</t>
  </si>
  <si>
    <t>INV-2503-812</t>
  </si>
  <si>
    <t>INV-2503-813</t>
  </si>
  <si>
    <t>INV-2503-814</t>
  </si>
  <si>
    <t>INV-2503-815</t>
  </si>
  <si>
    <t>INV-2503-816</t>
  </si>
  <si>
    <t>INV-2503-817</t>
  </si>
  <si>
    <t>INV-2503-818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</si>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</sst>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(&quot;$&quot;* #,##0.00_);_(&quot;$&quot;* \(#,##0.00\);_(&quot;$&quot;* &quot;-&quot;??_);_(@_)"/>
    <numFmt numFmtId="164" formatCode="&quot;$&quot;#,##0.00"/>
    <numFmt numFmtId="166" formatCode="_)@\ \ "/>
    <numFmt numFmtId="167" formatCode="_)#;_)#;_)#;_)@"/>
    <numFmt numFmtId="168" formatCode="#_)"/>
    <numFmt numFmtId="170" formatCode="&quot;********&quot;"/>
    <numFmt numFmtId="171" formatCode="_ [$₹-439]* #,##0.00_ ;_ [$₹-439]* \-#,##0.00_ ;_ [$₹-439]* &quot;-&quot;??_ ;_ @_ "/>
    <numFmt numFmtId="172" formatCode="********"/>
  </numFmts>
  <fonts count="30" x14ac:knownFonts="1">
    <font>
      <sz val="11"/>
      <color theme="2" tint="-0.749961851863155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2"/>
      <color theme="4" tint="-0.499984740745262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4"/>
      <color theme="4" tint="-0.24994659260841701"/>
      <name val="Arial"/>
      <family val="2"/>
      <scheme val="major"/>
    </font>
    <font>
      <sz val="12"/>
      <color theme="4" tint="-0.499984740745262"/>
      <name val="Arial"/>
      <family val="2"/>
      <scheme val="major"/>
    </font>
    <font>
      <sz val="11"/>
      <color theme="4" tint="-0.24994659260841701"/>
      <name val="Calibri"/>
      <family val="2"/>
      <scheme val="minor"/>
    </font>
    <font>
      <sz val="11"/>
      <color theme="1" tint="0.14993743705557422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4" tint="-0.24994659260841701"/>
      <name val="Arial"/>
      <family val="2"/>
      <scheme val="maj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4" tint="-0.499984740745262"/>
      <name val="Calibri"/>
      <family val="2"/>
      <scheme val="minor"/>
    </font>
    <font>
      <b/>
      <sz val="11"/>
      <color theme="2" tint="-0.749961851863155"/>
      <name val="Calibri"/>
      <family val="2"/>
      <scheme val="minor"/>
    </font>
    <font>
      <b/>
      <sz val="11"/>
      <color theme="4" tint="-0.499984740745262"/>
      <name val="Arial"/>
      <family val="2"/>
      <scheme val="major"/>
    </font>
    <font>
      <b/>
      <sz val="11"/>
      <color theme="4" tint="-0.24994659260841701"/>
      <name val="Arial"/>
      <family val="2"/>
      <scheme val="major"/>
    </font>
    <font>
      <b/>
      <sz val="11"/>
      <color theme="2" tint="-0.89996032593768116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2" tint="-0.749961851863155"/>
      <name val="Arial"/>
      <family val="2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Arial"/>
      <family val="2"/>
      <scheme val="maj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2" tint="-0.499984740745262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</borders>
  <cellStyleXfs count="13">
    <xf numFmtId="0" fontId="0" fillId="0" borderId="0" applyNumberFormat="0" applyFill="0" applyBorder="0">
      <alignment vertical="top" wrapText="1"/>
    </xf>
    <xf numFmtId="0" fontId="14" fillId="0" borderId="0" applyNumberFormat="0" applyFill="0" applyBorder="0" applyAlignment="0" applyProtection="0"/>
    <xf numFmtId="0" fontId="12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0" fontId="7" fillId="5" borderId="7" applyNumberFormat="0" applyAlignment="0" applyProtection="0"/>
    <xf numFmtId="0" fontId="8" fillId="4" borderId="0" applyNumberFormat="0" applyBorder="0" applyAlignment="0" applyProtection="0"/>
    <xf numFmtId="0" fontId="11" fillId="0" borderId="0" applyFill="0" applyBorder="0" applyProtection="0">
      <alignment horizontal="left" vertical="center"/>
    </xf>
    <xf numFmtId="0" fontId="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" fillId="0" borderId="6" applyNumberFormat="0" applyAlignment="0" applyProtection="0"/>
    <xf numFmtId="0" fontId="16" fillId="0" borderId="0" applyFill="0" applyBorder="0" applyProtection="0">
      <alignment horizontal="left" vertical="center"/>
    </xf>
    <xf numFmtId="0" fontId="1" fillId="0" borderId="0"/>
  </cellStyleXfs>
  <cellXfs count="116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wrapText="1"/>
    </xf>
    <xf numFmtId="0" fontId="6" fillId="0" borderId="2" xfId="0" applyFont="1" applyBorder="1" applyAlignment="1">
      <alignment horizontal="left" vertical="center"/>
    </xf>
    <xf numFmtId="167" fontId="0" fillId="2" borderId="0" xfId="0" applyNumberFormat="1" applyFill="1" applyBorder="1" applyAlignment="1">
      <alignment horizontal="left" vertical="center"/>
    </xf>
    <xf numFmtId="166" fontId="0" fillId="2" borderId="0" xfId="0" applyNumberFormat="1" applyFill="1" applyBorder="1" applyAlignment="1">
      <alignment horizontal="left" vertical="center"/>
    </xf>
    <xf numFmtId="0" fontId="12" fillId="0" borderId="2" xfId="2" applyBorder="1" applyAlignment="1" applyProtection="1">
      <alignment horizontal="left" vertical="center"/>
    </xf>
    <xf numFmtId="0" fontId="8" fillId="4" borderId="0" xfId="6" applyAlignment="1" applyProtection="1">
      <alignment vertical="top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8" fillId="4" borderId="0" xfId="6" applyAlignment="1">
      <alignment vertical="top" wrapText="1"/>
    </xf>
    <xf numFmtId="0" fontId="22" fillId="0" borderId="0" xfId="11" applyFont="1" applyFill="1" applyBorder="1" applyAlignment="1" applyProtection="1">
      <alignment horizontal="left" vertical="center" indent="1"/>
    </xf>
    <xf numFmtId="0" fontId="0" fillId="0" borderId="0" xfId="0" applyNumberFormat="1" applyFill="1" applyBorder="1" applyAlignment="1">
      <alignment horizontal="left" vertical="center" indent="1"/>
    </xf>
    <xf numFmtId="0" fontId="7" fillId="5" borderId="0" xfId="5" applyBorder="1" applyAlignment="1" applyProtection="1">
      <alignment vertical="top"/>
    </xf>
    <xf numFmtId="0" fontId="7" fillId="5" borderId="0" xfId="5" applyBorder="1" applyAlignment="1" applyProtection="1">
      <alignment vertical="center"/>
    </xf>
    <xf numFmtId="0" fontId="23" fillId="4" borderId="0" xfId="6" applyFont="1" applyBorder="1" applyAlignment="1">
      <alignment horizontal="right" wrapText="1"/>
    </xf>
    <xf numFmtId="0" fontId="23" fillId="4" borderId="0" xfId="6" applyFont="1" applyAlignment="1">
      <alignment horizontal="right" vertical="top" wrapText="1"/>
    </xf>
    <xf numFmtId="0" fontId="8" fillId="4" borderId="0" xfId="6" applyBorder="1" applyAlignment="1">
      <alignment wrapText="1"/>
    </xf>
    <xf numFmtId="0" fontId="21" fillId="0" borderId="0" xfId="0" applyFont="1" applyAlignment="1"/>
    <xf numFmtId="0" fontId="24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 indent="1"/>
    </xf>
    <xf numFmtId="0" fontId="3" fillId="0" borderId="0" xfId="0" applyFont="1" applyFill="1">
      <alignment vertical="top" wrapText="1"/>
    </xf>
    <xf numFmtId="0" fontId="3" fillId="0" borderId="0" xfId="0" applyFont="1" applyAlignment="1">
      <alignment horizontal="left" vertical="center"/>
    </xf>
    <xf numFmtId="0" fontId="15" fillId="0" borderId="0" xfId="9" applyFill="1" applyAlignment="1" applyProtection="1">
      <alignment horizontal="left" vertical="center"/>
    </xf>
    <xf numFmtId="0" fontId="15" fillId="6" borderId="0" xfId="9" applyFill="1" applyAlignment="1">
      <alignment horizontal="left" vertical="center" wrapText="1"/>
    </xf>
    <xf numFmtId="0" fontId="0" fillId="0" borderId="0" xfId="0" applyFill="1">
      <alignment vertical="top" wrapText="1"/>
    </xf>
    <xf numFmtId="0" fontId="0" fillId="0" borderId="0" xfId="0" applyAlignment="1">
      <alignment horizontal="left" vertical="center" wrapText="1" indent="1"/>
    </xf>
    <xf numFmtId="0" fontId="22" fillId="0" borderId="0" xfId="7" applyFont="1" applyFill="1" applyBorder="1" applyAlignment="1" applyProtection="1">
      <alignment horizontal="left" vertical="center" indent="1"/>
    </xf>
    <xf numFmtId="0" fontId="7" fillId="0" borderId="0" xfId="5" applyFill="1" applyBorder="1" applyAlignment="1" applyProtection="1">
      <alignment vertical="top"/>
    </xf>
    <xf numFmtId="0" fontId="26" fillId="0" borderId="0" xfId="0" applyFont="1" applyBorder="1" applyAlignment="1">
      <alignment vertical="top"/>
    </xf>
    <xf numFmtId="0" fontId="27" fillId="0" borderId="0" xfId="2" applyFont="1" applyBorder="1" applyProtection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Border="1">
      <alignment vertical="top" wrapText="1"/>
    </xf>
    <xf numFmtId="0" fontId="21" fillId="0" borderId="0" xfId="0" applyFont="1" applyAlignment="1">
      <alignment horizontal="right"/>
    </xf>
    <xf numFmtId="0" fontId="7" fillId="0" borderId="0" xfId="5" applyFill="1" applyBorder="1" applyAlignment="1" applyProtection="1">
      <alignment vertical="top" wrapText="1"/>
    </xf>
    <xf numFmtId="0" fontId="26" fillId="0" borderId="0" xfId="0" applyFont="1" applyFill="1" applyBorder="1">
      <alignment vertical="top" wrapText="1"/>
    </xf>
    <xf numFmtId="0" fontId="8" fillId="0" borderId="0" xfId="6" applyFill="1" applyAlignment="1" applyProtection="1">
      <alignment vertical="top" wrapText="1"/>
    </xf>
    <xf numFmtId="0" fontId="3" fillId="0" borderId="0" xfId="0" applyFont="1" applyFill="1" applyAlignment="1">
      <alignment wrapText="1"/>
    </xf>
    <xf numFmtId="0" fontId="24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vertical="center"/>
    </xf>
    <xf numFmtId="0" fontId="22" fillId="0" borderId="0" xfId="7" applyFont="1" applyFill="1" applyBorder="1" applyAlignment="1" applyProtection="1">
      <alignment horizontal="center" vertical="center"/>
    </xf>
    <xf numFmtId="168" fontId="0" fillId="2" borderId="0" xfId="0" applyNumberFormat="1" applyFill="1" applyBorder="1" applyAlignment="1">
      <alignment horizontal="center" vertical="center"/>
    </xf>
    <xf numFmtId="0" fontId="15" fillId="6" borderId="0" xfId="9" applyFill="1" applyAlignment="1">
      <alignment horizontal="left" vertical="center"/>
    </xf>
    <xf numFmtId="167" fontId="0" fillId="0" borderId="0" xfId="0" applyNumberFormat="1" applyFill="1" applyBorder="1" applyAlignment="1">
      <alignment horizontal="left" vertical="center"/>
    </xf>
    <xf numFmtId="166" fontId="0" fillId="0" borderId="0" xfId="0" applyNumberFormat="1" applyFill="1" applyBorder="1" applyAlignment="1">
      <alignment horizontal="left" vertical="center"/>
    </xf>
    <xf numFmtId="168" fontId="0" fillId="0" borderId="0" xfId="0" applyNumberFormat="1" applyFill="1" applyBorder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37" fontId="29" fillId="0" borderId="0" xfId="0" applyNumberFormat="1" applyFont="1" applyAlignment="1">
      <alignment vertical="center"/>
    </xf>
    <xf numFmtId="0" fontId="29" fillId="0" borderId="0" xfId="12" applyFont="1" applyAlignment="1">
      <alignment vertical="center"/>
    </xf>
    <xf numFmtId="0" fontId="29" fillId="0" borderId="0" xfId="12" applyFont="1" applyAlignment="1">
      <alignment horizontal="center" vertical="center"/>
    </xf>
    <xf numFmtId="170" fontId="29" fillId="0" borderId="0" xfId="12" applyNumberFormat="1" applyFont="1" applyAlignment="1">
      <alignment horizontal="center" vertical="center"/>
    </xf>
    <xf numFmtId="171" fontId="29" fillId="0" borderId="0" xfId="12" applyNumberFormat="1" applyFont="1" applyAlignment="1">
      <alignment horizontal="center" vertical="center"/>
    </xf>
    <xf numFmtId="0" fontId="9" fillId="0" borderId="0" xfId="12" applyFont="1" applyAlignment="1">
      <alignment horizontal="center" vertical="center"/>
    </xf>
    <xf numFmtId="170" fontId="9" fillId="0" borderId="0" xfId="12" applyNumberFormat="1" applyFont="1" applyAlignment="1">
      <alignment horizontal="center" vertical="center"/>
    </xf>
    <xf numFmtId="164" fontId="9" fillId="0" borderId="0" xfId="12" applyNumberFormat="1" applyFont="1" applyAlignment="1">
      <alignment horizontal="center" vertical="center"/>
    </xf>
    <xf numFmtId="171" fontId="9" fillId="0" borderId="0" xfId="12" applyNumberFormat="1" applyFont="1" applyAlignment="1">
      <alignment horizontal="center" vertical="center"/>
    </xf>
    <xf numFmtId="164" fontId="28" fillId="0" borderId="0" xfId="12" applyNumberFormat="1" applyFont="1" applyAlignment="1">
      <alignment horizontal="center" vertical="center"/>
    </xf>
    <xf numFmtId="14" fontId="29" fillId="0" borderId="0" xfId="12" applyNumberFormat="1" applyFont="1" applyAlignment="1">
      <alignment horizontal="left" vertical="center" indent="1"/>
    </xf>
    <xf numFmtId="0" fontId="29" fillId="0" borderId="0" xfId="12" applyFont="1" applyAlignment="1">
      <alignment horizontal="left" vertical="center" indent="1"/>
    </xf>
    <xf numFmtId="172" fontId="29" fillId="0" borderId="0" xfId="12" applyNumberFormat="1" applyFont="1" applyAlignment="1">
      <alignment horizontal="left" vertical="center" indent="1"/>
    </xf>
    <xf numFmtId="0" fontId="29" fillId="0" borderId="8" xfId="12" applyFont="1" applyBorder="1" applyAlignment="1">
      <alignment vertical="center"/>
    </xf>
    <xf numFmtId="37" fontId="29" fillId="0" borderId="0" xfId="12" applyNumberFormat="1" applyFont="1" applyAlignment="1">
      <alignment vertical="center"/>
    </xf>
    <xf numFmtId="171" fontId="29" fillId="0" borderId="0" xfId="12" applyNumberFormat="1" applyFont="1" applyAlignment="1">
      <alignment vertical="center"/>
    </xf>
    <xf numFmtId="170" fontId="29" fillId="0" borderId="0" xfId="12" applyNumberFormat="1" applyFont="1" applyAlignment="1">
      <alignment vertical="center"/>
    </xf>
    <xf numFmtId="44" fontId="29" fillId="0" borderId="0" xfId="12" applyNumberFormat="1" applyFont="1" applyAlignment="1">
      <alignment vertical="center"/>
    </xf>
    <xf numFmtId="0" fontId="29" fillId="9" borderId="8" xfId="12" applyFont="1" applyFill="1" applyBorder="1" applyAlignment="1">
      <alignment vertical="center"/>
    </xf>
    <xf numFmtId="171" fontId="22" fillId="0" borderId="0" xfId="11" applyNumberFormat="1" applyFont="1" applyFill="1" applyBorder="1" applyAlignment="1" applyProtection="1">
      <alignment horizontal="left" vertical="center" indent="1"/>
    </xf>
    <xf numFmtId="171" fontId="0" fillId="0" borderId="0" xfId="0" applyNumberFormat="1" applyFill="1" applyBorder="1" applyAlignment="1">
      <alignment horizontal="left" vertical="center" wrapText="1" indent="1"/>
    </xf>
    <xf numFmtId="171" fontId="0" fillId="0" borderId="0" xfId="0" applyNumberFormat="1" applyAlignment="1">
      <alignment horizontal="left" vertical="center" wrapText="1" indent="1"/>
    </xf>
    <xf numFmtId="171" fontId="0" fillId="0" borderId="0" xfId="0" applyNumberFormat="1">
      <alignment vertical="top" wrapText="1"/>
    </xf>
    <xf numFmtId="171" fontId="7" fillId="5" borderId="0" xfId="5" applyNumberFormat="1" applyBorder="1" applyAlignment="1" applyProtection="1">
      <alignment vertical="center"/>
    </xf>
    <xf numFmtId="171" fontId="7" fillId="0" borderId="0" xfId="5" applyNumberFormat="1" applyFill="1" applyBorder="1" applyAlignment="1" applyProtection="1">
      <alignment vertical="top"/>
    </xf>
    <xf numFmtId="171" fontId="26" fillId="0" borderId="0" xfId="0" applyNumberFormat="1" applyFont="1" applyBorder="1" applyAlignment="1">
      <alignment vertical="center"/>
    </xf>
    <xf numFmtId="171" fontId="8" fillId="4" borderId="0" xfId="6" applyNumberFormat="1" applyAlignment="1">
      <alignment vertical="top" wrapText="1"/>
    </xf>
    <xf numFmtId="171" fontId="18" fillId="0" borderId="0" xfId="0" applyNumberFormat="1" applyFont="1" applyAlignment="1"/>
    <xf numFmtId="171" fontId="6" fillId="0" borderId="2" xfId="0" applyNumberFormat="1" applyFont="1" applyBorder="1" applyAlignment="1">
      <alignment horizontal="left" vertical="center"/>
    </xf>
    <xf numFmtId="171" fontId="22" fillId="0" borderId="0" xfId="7" applyNumberFormat="1" applyFont="1" applyFill="1" applyBorder="1" applyAlignment="1" applyProtection="1">
      <alignment horizontal="left" vertical="center" indent="1"/>
    </xf>
    <xf numFmtId="171" fontId="0" fillId="0" borderId="0" xfId="0" applyNumberFormat="1" applyFill="1" applyBorder="1" applyAlignment="1">
      <alignment horizontal="left" vertical="center"/>
    </xf>
    <xf numFmtId="171" fontId="0" fillId="2" borderId="0" xfId="0" applyNumberFormat="1" applyFill="1" applyBorder="1" applyAlignment="1">
      <alignment horizontal="left" vertical="center"/>
    </xf>
    <xf numFmtId="171" fontId="3" fillId="0" borderId="0" xfId="0" applyNumberFormat="1" applyFont="1" applyFill="1" applyBorder="1" applyAlignment="1">
      <alignment horizontal="left" vertical="center"/>
    </xf>
    <xf numFmtId="171" fontId="3" fillId="0" borderId="0" xfId="0" applyNumberFormat="1" applyFont="1" applyFill="1" applyAlignment="1">
      <alignment horizontal="left" vertical="center"/>
    </xf>
    <xf numFmtId="171" fontId="15" fillId="0" borderId="5" xfId="9" applyNumberFormat="1" applyFill="1" applyBorder="1" applyAlignment="1" applyProtection="1">
      <alignment horizontal="left" vertical="center"/>
    </xf>
    <xf numFmtId="171" fontId="15" fillId="6" borderId="4" xfId="9" applyNumberFormat="1" applyFill="1" applyBorder="1" applyAlignment="1">
      <alignment horizontal="left" vertical="center" wrapText="1"/>
    </xf>
    <xf numFmtId="171" fontId="3" fillId="0" borderId="0" xfId="0" applyNumberFormat="1" applyFont="1">
      <alignment vertical="top" wrapText="1"/>
    </xf>
    <xf numFmtId="171" fontId="23" fillId="4" borderId="0" xfId="6" applyNumberFormat="1" applyFont="1" applyBorder="1" applyAlignment="1">
      <alignment horizontal="right" wrapText="1"/>
    </xf>
    <xf numFmtId="171" fontId="23" fillId="4" borderId="0" xfId="6" applyNumberFormat="1" applyFont="1" applyAlignment="1">
      <alignment horizontal="right" vertical="top" wrapText="1"/>
    </xf>
    <xf numFmtId="171" fontId="21" fillId="0" borderId="0" xfId="0" applyNumberFormat="1" applyFont="1" applyAlignment="1">
      <alignment horizontal="right"/>
    </xf>
    <xf numFmtId="171" fontId="17" fillId="0" borderId="0" xfId="0" applyNumberFormat="1" applyFont="1" applyAlignment="1">
      <alignment wrapText="1"/>
    </xf>
    <xf numFmtId="171" fontId="22" fillId="0" borderId="0" xfId="7" applyNumberFormat="1" applyFont="1" applyFill="1" applyBorder="1" applyAlignment="1" applyProtection="1">
      <alignment horizontal="center" vertical="center"/>
    </xf>
    <xf numFmtId="171" fontId="0" fillId="0" borderId="0" xfId="0" applyNumberFormat="1" applyFill="1" applyBorder="1" applyAlignment="1">
      <alignment horizontal="center" vertical="center"/>
    </xf>
    <xf numFmtId="171" fontId="0" fillId="2" borderId="0" xfId="0" applyNumberFormat="1" applyFill="1" applyBorder="1" applyAlignment="1">
      <alignment horizontal="center" vertical="center"/>
    </xf>
    <xf numFmtId="171" fontId="0" fillId="0" borderId="1" xfId="0" applyNumberFormat="1" applyFill="1" applyBorder="1" applyAlignment="1">
      <alignment horizontal="left" vertical="center" wrapText="1"/>
    </xf>
    <xf numFmtId="171" fontId="0" fillId="0" borderId="3" xfId="0" applyNumberFormat="1" applyFill="1" applyBorder="1" applyAlignment="1">
      <alignment horizontal="left" vertical="center" wrapText="1"/>
    </xf>
    <xf numFmtId="171" fontId="9" fillId="3" borderId="6" xfId="10" applyNumberFormat="1" applyFill="1" applyAlignment="1" applyProtection="1">
      <alignment horizontal="left" vertical="center"/>
    </xf>
    <xf numFmtId="171" fontId="7" fillId="8" borderId="0" xfId="5" applyNumberFormat="1" applyFill="1" applyBorder="1" applyAlignment="1" applyProtection="1">
      <alignment vertical="top" wrapText="1"/>
    </xf>
    <xf numFmtId="171" fontId="8" fillId="4" borderId="0" xfId="6" applyNumberFormat="1" applyBorder="1" applyAlignment="1"/>
    <xf numFmtId="171" fontId="17" fillId="0" borderId="0" xfId="0" applyNumberFormat="1" applyFont="1" applyAlignment="1" applyProtection="1">
      <alignment wrapText="1"/>
      <protection locked="0"/>
    </xf>
    <xf numFmtId="171" fontId="17" fillId="0" borderId="0" xfId="0" applyNumberFormat="1" applyFont="1" applyAlignment="1">
      <alignment horizontal="left" wrapText="1"/>
    </xf>
    <xf numFmtId="171" fontId="4" fillId="0" borderId="0" xfId="0" applyNumberFormat="1" applyFont="1" applyAlignment="1">
      <alignment wrapText="1"/>
    </xf>
    <xf numFmtId="171" fontId="22" fillId="0" borderId="0" xfId="7" applyNumberFormat="1" applyFont="1" applyFill="1" applyBorder="1" applyAlignment="1" applyProtection="1">
      <alignment horizontal="right" vertical="center" indent="1"/>
    </xf>
    <xf numFmtId="0" fontId="23" fillId="4" borderId="0" xfId="6" applyFont="1" applyBorder="1" applyAlignment="1">
      <alignment horizontal="center" wrapText="1"/>
    </xf>
    <xf numFmtId="172" fontId="8" fillId="4" borderId="0" xfId="6" applyNumberFormat="1" applyBorder="1" applyAlignment="1">
      <alignment wrapText="1"/>
    </xf>
    <xf numFmtId="171" fontId="14" fillId="4" borderId="0" xfId="1" applyNumberFormat="1" applyFill="1" applyAlignment="1">
      <alignment vertical="top"/>
    </xf>
    <xf numFmtId="14" fontId="29" fillId="0" borderId="0" xfId="12" applyNumberFormat="1" applyFont="1" applyAlignment="1">
      <alignment horizontal="center" vertical="center"/>
    </xf>
    <xf numFmtId="14" fontId="9" fillId="0" borderId="0" xfId="12" applyNumberFormat="1" applyFont="1" applyAlignment="1">
      <alignment horizontal="center" vertical="center"/>
    </xf>
    <xf numFmtId="14" fontId="29" fillId="0" borderId="0" xfId="12" applyNumberFormat="1" applyFont="1" applyAlignment="1">
      <alignment vertical="center"/>
    </xf>
    <xf numFmtId="0" fontId="29" fillId="9" borderId="0" xfId="12" applyFont="1" applyFill="1" applyAlignment="1">
      <alignment vertical="center"/>
    </xf>
    <xf numFmtId="0" fontId="0" fillId="0" borderId="0" xfId="0" pivotButton="1">
      <alignment vertical="top" wrapText="1"/>
    </xf>
    <xf numFmtId="0" fontId="0" fillId="0" borderId="0" xfId="0" applyAlignment="1">
      <alignment horizontal="left" vertical="top" wrapText="1"/>
    </xf>
    <xf numFmtId="0" fontId="12" fillId="0" borderId="0" xfId="2" applyProtection="1">
      <alignment vertical="center"/>
    </xf>
    <xf numFmtId="0" fontId="25" fillId="7" borderId="0" xfId="0" applyFont="1" applyFill="1" applyAlignment="1">
      <alignment horizontal="left" vertical="center" indent="1"/>
    </xf>
  </cellXfs>
  <cellStyles count="13">
    <cellStyle name="60% - Accent1" xfId="6" builtinId="32" customBuiltin="1"/>
    <cellStyle name="Explanatory Text" xfId="9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7" builtinId="18" customBuiltin="1"/>
    <cellStyle name="Heading 4" xfId="11" builtinId="19" customBuiltin="1"/>
    <cellStyle name="Hyperlink" xfId="1" builtinId="8" customBuiltin="1"/>
    <cellStyle name="Normal" xfId="0" builtinId="0" customBuiltin="1"/>
    <cellStyle name="Normal 2" xfId="12" xr:uid="{B2D7C2DC-ED6C-42B6-91D5-BEABCA3E17CB}"/>
    <cellStyle name="Title" xfId="5" builtinId="15" customBuiltin="1"/>
    <cellStyle name="Total" xfId="10" builtinId="25" customBuiltin="1"/>
    <cellStyle name="Warning Text" xfId="8" builtinId="11" customBuiltin="1"/>
  </cellStyles>
  <dxfs count="56">
    <dxf>
      <font>
        <color rgb="FFFF0000"/>
      </font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0" formatCode="&quot;********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 [$₹-439]* #,##0.00_ ;_ [$₹-439]* \-#,##0.00_ ;_ [$₹-439]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 [$₹-439]* #,##0.00_ ;_ [$₹-439]* \-#,##0.00_ ;_ [$₹-439]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5" formatCode="#,##0_);\(#,##0\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2" formatCode="********"/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(&quot;$&quot;* #,##0.00_);_(&quot;$&quot;* \(#,##0.00\);_(&quot;$&quot;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0" formatCode="&quot;********&quot;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 [$₹-439]* #,##0.00_ ;_ [$₹-439]* \-#,##0.00_ ;_ [$₹-439]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1" formatCode="_ [$₹-439]* #,##0.00_ ;_ [$₹-439]* \-#,##0.00_ ;_ [$₹-439]* &quot;-&quot;??_ ;_ @_ 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5" formatCode="#,##0_);\(#,##0\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72" formatCode="********"/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71" formatCode="_ [$₹-439]* #,##0.00_ ;_ [$₹-439]* \-#,##0.00_ ;_ [$₹-439]* &quot;-&quot;??_ ;_ @_ "/>
      <alignment horizontal="left" vertical="center" textRotation="0" indent="1" justifyLastLine="0" shrinkToFit="0" readingOrder="0"/>
    </dxf>
    <dxf>
      <numFmt numFmtId="171" formatCode="_ [$₹-439]* #,##0.00_ ;_ [$₹-439]* \-#,##0.00_ ;_ [$₹-439]* &quot;-&quot;??_ ;_ @_ "/>
      <alignment horizontal="left" vertical="center" textRotation="0" indent="1" justifyLastLine="0" shrinkToFit="0" readingOrder="0"/>
    </dxf>
    <dxf>
      <numFmt numFmtId="171" formatCode="_ [$₹-439]* #,##0.00_ ;_ [$₹-439]* \-#,##0.00_ ;_ [$₹-439]* &quot;-&quot;??_ ;_ @_ "/>
      <alignment horizontal="left" vertical="center" textRotation="0" indent="1" justifyLastLine="0" shrinkToFit="0" readingOrder="0"/>
    </dxf>
    <dxf>
      <font>
        <sz val="10"/>
        <color theme="1"/>
      </font>
      <numFmt numFmtId="5" formatCode="#,##0_);\(#,##0\)"/>
      <alignment horizontal="general" vertical="center" textRotation="0" wrapText="0" indent="0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sz val="10"/>
        <color theme="1"/>
      </font>
      <numFmt numFmtId="0" formatCode="General"/>
      <alignment horizontal="left" vertical="center" textRotation="0" wrapText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</font>
      <alignment horizontal="left" vertical="center" textRotation="0" indent="1" justifyLastLine="0" shrinkToFit="0" readingOrder="0"/>
    </dxf>
    <dxf>
      <numFmt numFmtId="171" formatCode="_ [$₹-439]* #,##0.00_ ;_ [$₹-439]* \-#,##0.00_ ;_ [$₹-439]* &quot;-&quot;??_ ;_ @_ 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numFmt numFmtId="171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71" formatCode="_ [$₹-439]* #,##0.00_ ;_ [$₹-439]* \-#,##0.00_ ;_ [$₹-439]* &quot;-&quot;??_ ;_ @_ "/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ill>
        <patternFill>
          <fgColor theme="2"/>
          <bgColor theme="2"/>
        </patternFill>
      </fill>
    </dxf>
    <dxf>
      <fill>
        <patternFill patternType="none">
          <fgColor auto="1"/>
          <bgColor auto="1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Sales Invoice Table" defaultPivotStyle="PivotStyleLight16">
    <tableStyle name="Business Table" pivot="0" count="3" xr9:uid="{332789D5-4735-43AA-958E-668DF7890946}">
      <tableStyleElement type="wholeTable" dxfId="55"/>
      <tableStyleElement type="headerRow" dxfId="54"/>
      <tableStyleElement type="secondRowStripe" dxfId="53"/>
    </tableStyle>
    <tableStyle name="Sales Invoice Table" pivot="0" count="6" xr9:uid="{00000000-0011-0000-FFFF-FFFF00000000}">
      <tableStyleElement type="wholeTable" dxfId="52"/>
      <tableStyleElement type="headerRow" dxfId="51"/>
      <tableStyleElement type="totalRow" dxfId="50"/>
      <tableStyleElement type="lastColumn" dxfId="49"/>
      <tableStyleElement type="firstRowStripe" dxfId="48"/>
      <tableStyleElement type="secondRowStripe" dxfId="4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F5766"/>
      <color rgb="FF1A99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[Kumar Coaters Sales DataSheet.xlsx]Monthly Data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 pivot'!$B$1:$B$3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pivot'!$B$4:$B$8</c:f>
              <c:numCache>
                <c:formatCode>_ [$₹-439]* #,##0.00_ ;_ [$₹-439]* \-#,##0.00_ ;_ [$₹-439]* "-"??_ ;_ @_ </c:formatCode>
                <c:ptCount val="2"/>
                <c:pt idx="0">
                  <c:v>336055</c:v>
                </c:pt>
                <c:pt idx="1">
                  <c:v>260077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D-464B-B96F-C374D717DD4C}"/>
            </c:ext>
          </c:extLst>
        </c:ser>
        <c:ser>
          <c:idx val="1"/>
          <c:order val="1"/>
          <c:tx>
            <c:strRef>
              <c:f>'Monthly Data pivot'!$C$1:$C$3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pivot'!$C$4:$C$8</c:f>
              <c:numCache>
                <c:formatCode>_ [$₹-439]* #,##0.00_ ;_ [$₹-439]* \-#,##0.00_ ;_ [$₹-439]* "-"??_ ;_ @_ </c:formatCode>
                <c:ptCount val="2"/>
                <c:pt idx="0">
                  <c:v>466304</c:v>
                </c:pt>
                <c:pt idx="1">
                  <c:v>79233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D-464B-B96F-C374D717DD4C}"/>
            </c:ext>
          </c:extLst>
        </c:ser>
        <c:ser>
          <c:idx val="2"/>
          <c:order val="2"/>
          <c:tx>
            <c:strRef>
              <c:f>'Monthly Data pivot'!$D$1:$D$3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pivot'!$D$4:$D$8</c:f>
              <c:numCache>
                <c:formatCode>_ [$₹-439]* #,##0.00_ ;_ [$₹-439]* \-#,##0.00_ ;_ [$₹-439]* "-"??_ ;_ @_ </c:formatCode>
                <c:ptCount val="2"/>
                <c:pt idx="0">
                  <c:v>375298</c:v>
                </c:pt>
                <c:pt idx="1">
                  <c:v>208213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D-464B-B96F-C374D717DD4C}"/>
            </c:ext>
          </c:extLst>
        </c:ser>
        <c:ser>
          <c:idx val="3"/>
          <c:order val="3"/>
          <c:tx>
            <c:strRef>
              <c:f>'Monthly Data pivot'!$E$1:$E$3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pivot'!$E$4:$E$8</c:f>
              <c:numCache>
                <c:formatCode>_ [$₹-439]* #,##0.00_ ;_ [$₹-439]* \-#,##0.00_ ;_ [$₹-439]* "-"??_ ;_ @_ </c:formatCode>
                <c:ptCount val="2"/>
                <c:pt idx="0">
                  <c:v>460784</c:v>
                </c:pt>
                <c:pt idx="1">
                  <c:v>131768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1E-4C11-A308-6439463E6CA2}"/>
            </c:ext>
          </c:extLst>
        </c:ser>
        <c:ser>
          <c:idx val="4"/>
          <c:order val="4"/>
          <c:tx>
            <c:strRef>
              <c:f>'Monthly Data pivot'!$F$1:$F$3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pivot'!$F$4:$F$8</c:f>
              <c:numCache>
                <c:formatCode>_ [$₹-439]* #,##0.00_ ;_ [$₹-439]* \-#,##0.00_ ;_ [$₹-439]* "-"??_ ;_ @_ </c:formatCode>
                <c:ptCount val="2"/>
                <c:pt idx="0">
                  <c:v>505848</c:v>
                </c:pt>
                <c:pt idx="1">
                  <c:v>129394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E-4C11-A308-6439463E6CA2}"/>
            </c:ext>
          </c:extLst>
        </c:ser>
        <c:ser>
          <c:idx val="5"/>
          <c:order val="5"/>
          <c:tx>
            <c:strRef>
              <c:f>'Monthly Data pivot'!$G$1:$G$3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pivot'!$G$4:$G$8</c:f>
              <c:numCache>
                <c:formatCode>_ [$₹-439]* #,##0.00_ ;_ [$₹-439]* \-#,##0.00_ ;_ [$₹-439]* "-"??_ ;_ @_ </c:formatCode>
                <c:ptCount val="2"/>
                <c:pt idx="0">
                  <c:v>479313</c:v>
                </c:pt>
                <c:pt idx="1">
                  <c:v>118769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1E-4C11-A308-6439463E6CA2}"/>
            </c:ext>
          </c:extLst>
        </c:ser>
        <c:ser>
          <c:idx val="6"/>
          <c:order val="6"/>
          <c:tx>
            <c:strRef>
              <c:f>'Monthly Data pivot'!$H$1:$H$3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pivot'!$H$4:$H$8</c:f>
              <c:numCache>
                <c:formatCode>_ [$₹-439]* #,##0.00_ ;_ [$₹-439]* \-#,##0.00_ ;_ [$₹-439]* "-"??_ ;_ @_ </c:formatCode>
                <c:ptCount val="2"/>
                <c:pt idx="0">
                  <c:v>500106</c:v>
                </c:pt>
                <c:pt idx="1">
                  <c:v>93668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1E-4C11-A308-6439463E6CA2}"/>
            </c:ext>
          </c:extLst>
        </c:ser>
        <c:ser>
          <c:idx val="7"/>
          <c:order val="7"/>
          <c:tx>
            <c:strRef>
              <c:f>'Monthly Data pivot'!$I$1:$I$3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pivot'!$I$4:$I$8</c:f>
              <c:numCache>
                <c:formatCode>_ [$₹-439]* #,##0.00_ ;_ [$₹-439]* \-#,##0.00_ ;_ [$₹-439]* "-"??_ ;_ @_ </c:formatCode>
                <c:ptCount val="2"/>
                <c:pt idx="0">
                  <c:v>347214</c:v>
                </c:pt>
                <c:pt idx="1">
                  <c:v>186210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1E-4C11-A308-6439463E6CA2}"/>
            </c:ext>
          </c:extLst>
        </c:ser>
        <c:ser>
          <c:idx val="8"/>
          <c:order val="8"/>
          <c:tx>
            <c:strRef>
              <c:f>'Monthly Data pivot'!$J$1:$J$3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pivot'!$J$4:$J$8</c:f>
              <c:numCache>
                <c:formatCode>_ [$₹-439]* #,##0.00_ ;_ [$₹-439]* \-#,##0.00_ ;_ [$₹-439]* "-"??_ ;_ @_ </c:formatCode>
                <c:ptCount val="2"/>
                <c:pt idx="0">
                  <c:v>155252</c:v>
                </c:pt>
                <c:pt idx="1">
                  <c:v>29556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E-4C11-A308-6439463E6CA2}"/>
            </c:ext>
          </c:extLst>
        </c:ser>
        <c:ser>
          <c:idx val="9"/>
          <c:order val="9"/>
          <c:tx>
            <c:strRef>
              <c:f>'Monthly Data pivot'!$K$1:$K$3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pivot'!$K$4:$K$8</c:f>
              <c:numCache>
                <c:formatCode>_ [$₹-439]* #,##0.00_ ;_ [$₹-439]* \-#,##0.00_ ;_ [$₹-439]* "-"??_ ;_ @_ </c:formatCode>
                <c:ptCount val="2"/>
                <c:pt idx="0">
                  <c:v>162460</c:v>
                </c:pt>
                <c:pt idx="1">
                  <c:v>138082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1E-4C11-A308-6439463E6CA2}"/>
            </c:ext>
          </c:extLst>
        </c:ser>
        <c:ser>
          <c:idx val="10"/>
          <c:order val="10"/>
          <c:tx>
            <c:strRef>
              <c:f>'Monthly Data pivot'!$L$1:$L$3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pivot'!$L$4:$L$8</c:f>
              <c:numCache>
                <c:formatCode>_ [$₹-439]* #,##0.00_ ;_ [$₹-439]* \-#,##0.00_ ;_ [$₹-439]* "-"??_ ;_ @_ </c:formatCode>
                <c:ptCount val="2"/>
                <c:pt idx="0">
                  <c:v>202306</c:v>
                </c:pt>
                <c:pt idx="1">
                  <c:v>66989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1E-4C11-A308-6439463E6CA2}"/>
            </c:ext>
          </c:extLst>
        </c:ser>
        <c:ser>
          <c:idx val="11"/>
          <c:order val="11"/>
          <c:tx>
            <c:strRef>
              <c:f>'Monthly Data pivot'!$M$1:$M$3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'Monthly Data pivot'!$A$4:$A$8</c:f>
              <c:multiLvlStrCache>
                <c:ptCount val="2"/>
                <c:lvl>
                  <c:pt idx="0">
                    <c:v>2024</c:v>
                  </c:pt>
                  <c:pt idx="1">
                    <c:v>2024</c:v>
                  </c:pt>
                </c:lvl>
                <c:lvl>
                  <c:pt idx="0">
                    <c:v>ED coating</c:v>
                  </c:pt>
                  <c:pt idx="1">
                    <c:v>Powder Coating</c:v>
                  </c:pt>
                </c:lvl>
              </c:multiLvlStrCache>
            </c:multiLvlStrRef>
          </c:cat>
          <c:val>
            <c:numRef>
              <c:f>'Monthly Data pivot'!$M$4:$M$8</c:f>
              <c:numCache>
                <c:formatCode>_ [$₹-439]* #,##0.00_ ;_ [$₹-439]* \-#,##0.00_ ;_ [$₹-439]* "-"??_ ;_ @_ </c:formatCode>
                <c:ptCount val="2"/>
                <c:pt idx="0">
                  <c:v>138474</c:v>
                </c:pt>
                <c:pt idx="1">
                  <c:v>64735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1E-4C11-A308-6439463E6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288047"/>
        <c:axId val="207287567"/>
      </c:barChart>
      <c:catAx>
        <c:axId val="2072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7567"/>
        <c:crosses val="autoZero"/>
        <c:auto val="1"/>
        <c:lblAlgn val="ctr"/>
        <c:lblOffset val="100"/>
        <c:noMultiLvlLbl val="0"/>
      </c:catAx>
      <c:valAx>
        <c:axId val="2072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[Kumar Coaters Sales DataSheet.xlsx]Sheet2!PivotTable1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248088612416156E-2"/>
              <c:y val="-4.81198639234829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410695883109322E-2"/>
              <c:y val="-5.810634580439997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Sheet2!$B$1:$B$2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68-49B3-AD20-3020D0CA1F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D68-49B3-AD20-3020D0CA1FFE}"/>
              </c:ext>
            </c:extLst>
          </c:dPt>
          <c:dLbls>
            <c:dLbl>
              <c:idx val="0"/>
              <c:layout>
                <c:manualLayout>
                  <c:x val="5.0248088612416156E-2"/>
                  <c:y val="-4.81198639234829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68-49B3-AD20-3020D0CA1FFE}"/>
                </c:ext>
              </c:extLst>
            </c:dLbl>
            <c:dLbl>
              <c:idx val="1"/>
              <c:layout>
                <c:manualLayout>
                  <c:x val="1.410695883109322E-2"/>
                  <c:y val="-5.81063458043999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68-49B3-AD20-3020D0CA1F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Sheet2!$A$3:$A$5</c:f>
              <c:strCache>
                <c:ptCount val="2"/>
                <c:pt idx="0">
                  <c:v>ED coating</c:v>
                </c:pt>
                <c:pt idx="1">
                  <c:v>Powder Coating</c:v>
                </c:pt>
              </c:strCache>
            </c:strRef>
          </c:cat>
          <c:val>
            <c:numRef>
              <c:f>Sheet2!$B$3:$B$5</c:f>
              <c:numCache>
                <c:formatCode>_ [$₹-439]* #,##0.00_ ;_ [$₹-439]* \-#,##0.00_ ;_ [$₹-439]* "-"??_ ;_ @_ </c:formatCode>
                <c:ptCount val="2"/>
                <c:pt idx="0">
                  <c:v>1412417</c:v>
                </c:pt>
                <c:pt idx="1">
                  <c:v>395583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8-49B3-AD20-3020D0CA1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88900</xdr:rowOff>
    </xdr:from>
    <xdr:to>
      <xdr:col>7</xdr:col>
      <xdr:colOff>27940</xdr:colOff>
      <xdr:row>1</xdr:row>
      <xdr:rowOff>253365</xdr:rowOff>
    </xdr:to>
    <xdr:grpSp>
      <xdr:nvGrpSpPr>
        <xdr:cNvPr id="2" name="Header artwork group" descr="Header artwork">
          <a:extLst>
            <a:ext uri="{FF2B5EF4-FFF2-40B4-BE49-F238E27FC236}">
              <a16:creationId xmlns:a16="http://schemas.microsoft.com/office/drawing/2014/main" id="{FAA6968B-F011-FD41-AE96-7BA036D0207F}"/>
            </a:ext>
          </a:extLst>
        </xdr:cNvPr>
        <xdr:cNvGrpSpPr/>
      </xdr:nvGrpSpPr>
      <xdr:grpSpPr>
        <a:xfrm>
          <a:off x="0" y="820420"/>
          <a:ext cx="9271000" cy="164465"/>
          <a:chOff x="171449" y="152400"/>
          <a:chExt cx="13657124" cy="164465"/>
        </a:xfrm>
      </xdr:grpSpPr>
      <xdr:sp macro="" textlink="">
        <xdr:nvSpPr>
          <xdr:cNvPr id="4" name="Rectangle 3" title="Short Footer Graphic">
            <a:extLst>
              <a:ext uri="{FF2B5EF4-FFF2-40B4-BE49-F238E27FC236}">
                <a16:creationId xmlns:a16="http://schemas.microsoft.com/office/drawing/2014/main" id="{8AB16027-4913-BCED-4091-9F9ABCFA6883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A909DF87-D89B-7FA4-B68D-1329477D147A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653BB99-5381-0E98-01A1-138A2B89598A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B3372C13-BA06-8532-96AA-5F9117B3B370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D46C5761-D002-CC64-54D2-BB1A23785172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CEB95C33-C3AB-9949-93C8-61E4849B13F9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758C608A-2C39-FAC7-5C85-A4DA480F3AA3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101600</xdr:rowOff>
    </xdr:from>
    <xdr:to>
      <xdr:col>8</xdr:col>
      <xdr:colOff>8763</xdr:colOff>
      <xdr:row>1</xdr:row>
      <xdr:rowOff>266192</xdr:rowOff>
    </xdr:to>
    <xdr:grpSp>
      <xdr:nvGrpSpPr>
        <xdr:cNvPr id="2" name="Header artwork group" descr="Header artwork">
          <a:extLst>
            <a:ext uri="{FF2B5EF4-FFF2-40B4-BE49-F238E27FC236}">
              <a16:creationId xmlns:a16="http://schemas.microsoft.com/office/drawing/2014/main" id="{94401EC6-85BA-2649-8C07-6BD82878A281}"/>
            </a:ext>
          </a:extLst>
        </xdr:cNvPr>
        <xdr:cNvGrpSpPr/>
      </xdr:nvGrpSpPr>
      <xdr:grpSpPr>
        <a:xfrm>
          <a:off x="167640" y="734060"/>
          <a:ext cx="7979283" cy="164592"/>
          <a:chOff x="142875" y="104775"/>
          <a:chExt cx="6914767" cy="164465"/>
        </a:xfrm>
      </xdr:grpSpPr>
      <xdr:sp macro="" textlink="">
        <xdr:nvSpPr>
          <xdr:cNvPr id="3" name="Rectangle 2" title="Short Footer Graphic">
            <a:extLst>
              <a:ext uri="{FF2B5EF4-FFF2-40B4-BE49-F238E27FC236}">
                <a16:creationId xmlns:a16="http://schemas.microsoft.com/office/drawing/2014/main" id="{1FE6E6D2-52C3-ABFA-E9E0-F85896508678}"/>
              </a:ext>
            </a:extLst>
          </xdr:cNvPr>
          <xdr:cNvSpPr/>
        </xdr:nvSpPr>
        <xdr:spPr>
          <a:xfrm>
            <a:off x="142875" y="104775"/>
            <a:ext cx="4672306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B6C5A269-BAF2-247B-31B7-91CB9E7B8630}"/>
              </a:ext>
            </a:extLst>
          </xdr:cNvPr>
          <xdr:cNvGrpSpPr/>
        </xdr:nvGrpSpPr>
        <xdr:grpSpPr>
          <a:xfrm>
            <a:off x="4848240" y="104775"/>
            <a:ext cx="2199877" cy="164465"/>
            <a:chOff x="10584358" y="200025"/>
            <a:chExt cx="3749040" cy="164465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36E82F61-731F-8890-B20A-27DA625A21D4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71382B9-6E94-3B35-3F8C-B1530AC7CF69}"/>
                </a:ext>
              </a:extLst>
            </xdr:cNvPr>
            <xdr:cNvSpPr/>
          </xdr:nvSpPr>
          <xdr:spPr>
            <a:xfrm>
              <a:off x="10584358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DCDEE543-501E-3B30-BE74-4DB6F226990A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4DF9613B-87D8-C255-C139-E35BC58CB585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E383489-912E-A6AD-A29C-30D1C4DB1618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621888</xdr:colOff>
      <xdr:row>8</xdr:row>
      <xdr:rowOff>175821</xdr:rowOff>
    </xdr:from>
    <xdr:to>
      <xdr:col>12</xdr:col>
      <xdr:colOff>249547</xdr:colOff>
      <xdr:row>25</xdr:row>
      <xdr:rowOff>150421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5FF41-239E-0D21-F038-7AE46AC0F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176710</xdr:colOff>
      <xdr:row>2</xdr:row>
      <xdr:rowOff>56243</xdr:rowOff>
    </xdr:from>
    <xdr:to>
      <xdr:col>11</xdr:col>
      <xdr:colOff>68759</xdr:colOff>
      <xdr:row>16</xdr:row>
      <xdr:rowOff>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86379-3414-DA33-C3B6-82EAC6F6D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4570</xdr:colOff>
      <xdr:row>0</xdr:row>
      <xdr:rowOff>59055</xdr:rowOff>
    </xdr:from>
    <xdr:to>
      <xdr:col>13</xdr:col>
      <xdr:colOff>83819</xdr:colOff>
      <xdr:row>0</xdr:row>
      <xdr:rowOff>1078230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CC898A5D-8B03-42C1-A76B-96CF70A84124}"/>
            </a:ext>
          </a:extLst>
        </xdr:cNvPr>
        <xdr:cNvSpPr txBox="1"/>
      </xdr:nvSpPr>
      <xdr:spPr>
        <a:xfrm>
          <a:off x="156970" y="59055"/>
          <a:ext cx="14221969" cy="1019175"/>
        </a:xfrm>
        <a:prstGeom prst="rect">
          <a:avLst/>
        </a:prstGeom>
        <a:solidFill>
          <a:schemeClr val="accent1">
            <a:lumMod val="75000"/>
          </a:schemeClr>
        </a:solidFill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Sales Report</a:t>
          </a:r>
        </a:p>
        <a:p>
          <a:pPr marL="0" algn="l"/>
          <a:r>
            <a:rPr lang="en-US" sz="2800" b="1" cap="all" baseline="0">
              <a:solidFill>
                <a:schemeClr val="tx2">
                  <a:lumMod val="20000"/>
                  <a:lumOff val="80000"/>
                </a:schemeClr>
              </a:solidFill>
              <a:latin typeface="+mj-lt"/>
            </a:rPr>
            <a:t>Kumar Coaters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64.49571516204" createdVersion="8" refreshedVersion="8" minRefreshableVersion="3" recordCount="818" xr:uid="{88F2CDDF-9804-47E4-B888-001045895909}">
  <cacheSource type="worksheet">
    <worksheetSource name="Table_SalesData"/>
  </cacheSource>
  <cacheFields count="13">
    <cacheField name="Date" numFmtId="14">
      <sharedItems containsSemiMixedTypes="0" containsNonDate="0" containsDate="1" containsString="0" minDate="2023-01-04T00:00:00" maxDate="2025-04-01T00:00:00" count="818"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2"/>
    </cacheField>
    <cacheField name="Invoice Number" numFmtId="0">
      <sharedItems/>
    </cacheField>
    <cacheField name="Customer" numFmtId="172">
      <sharedItems containsSemiMixedTypes="0" containsString="0" containsNumber="1" containsInteger="1" minValue="123456789" maxValue="123457606"/>
    </cacheField>
    <cacheField name="Part Number" numFmtId="0">
      <sharedItems/>
    </cacheField>
    <cacheField name="Service" numFmtId="0">
      <sharedItems count="2">
        <s v="ED coating"/>
        <s v="Powder Coating"/>
      </sharedItems>
    </cacheField>
    <cacheField name="Quantity" numFmtId="37">
      <sharedItems containsSemiMixedTypes="0" containsString="0" containsNumber="1" containsInteger="1" minValue="202" maxValue="999"/>
    </cacheField>
    <cacheField name="Unit Price" numFmtId="171">
      <sharedItems containsSemiMixedTypes="0" containsString="0" containsNumber="1" containsInteger="1" minValue="21" maxValue="31"/>
    </cacheField>
    <cacheField name="Total" numFmtId="171">
      <sharedItems containsSemiMixedTypes="0" containsString="0" containsNumber="1" containsInteger="1" minValue="4284" maxValue="30814"/>
    </cacheField>
    <cacheField name="Sales Person" numFmtId="170">
      <sharedItems containsSemiMixedTypes="0" containsString="0" containsNumber="1" containsInteger="1" minValue="123456789" maxValue="123456789"/>
    </cacheField>
    <cacheField name="Region" numFmtId="44">
      <sharedItems/>
    </cacheField>
    <cacheField name="Months (Date)" numFmtId="0" databaseField="0">
      <fieldGroup base="0">
        <rangePr groupBy="months" startDate="2023-01-04T00:00:00" endDate="2025-04-01T00:00:00"/>
        <groupItems count="14">
          <s v="&lt;1/4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Quarters (Date)" numFmtId="0" databaseField="0">
      <fieldGroup base="0">
        <rangePr groupBy="quarters" startDate="2023-01-04T00:00:00" endDate="2025-04-01T00:00:00"/>
        <groupItems count="6">
          <s v="&lt;1/4/2023"/>
          <s v="Qtr1"/>
          <s v="Qtr2"/>
          <s v="Qtr3"/>
          <s v="Qtr4"/>
          <s v="&gt;4/1/2025"/>
        </groupItems>
      </fieldGroup>
    </cacheField>
    <cacheField name="Years (Date)" numFmtId="0" databaseField="0">
      <fieldGroup base="0">
        <rangePr groupBy="years" startDate="2023-01-04T00:00:00" endDate="2025-04-01T00:00:00"/>
        <groupItems count="5">
          <s v="&lt;1/4/2023"/>
          <s v="2023"/>
          <s v="2024"/>
          <s v="2025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x v="0"/>
    <s v="INV-2301-001"/>
    <n v="123456789"/>
    <s v="ED-IND-BF94R-96"/>
    <x v="0"/>
    <n v="925"/>
    <n v="28"/>
    <n v="25900"/>
    <n v="123456789"/>
    <s v="Pune"/>
  </r>
  <r>
    <x v="1"/>
    <s v="INV-2301-002"/>
    <n v="123456790"/>
    <s v="PC-IND-ES58E-77"/>
    <x v="1"/>
    <n v="717"/>
    <n v="30"/>
    <n v="21510"/>
    <n v="123456789"/>
    <s v="Mumbai"/>
  </r>
  <r>
    <x v="2"/>
    <s v="INV-2301-003"/>
    <n v="123456791"/>
    <s v="ED-IND-PW28Y-87"/>
    <x v="0"/>
    <n v="502"/>
    <n v="26"/>
    <n v="13052"/>
    <n v="123456789"/>
    <s v="Pune"/>
  </r>
  <r>
    <x v="3"/>
    <s v="INV-2301-004"/>
    <n v="123456792"/>
    <s v="ED-IND-FH42M-31"/>
    <x v="0"/>
    <n v="914"/>
    <n v="25"/>
    <n v="22850"/>
    <n v="123456789"/>
    <s v="Mumbai"/>
  </r>
  <r>
    <x v="4"/>
    <s v="INV-2301-005"/>
    <n v="123456793"/>
    <s v="ED-IND-DG79M-42"/>
    <x v="0"/>
    <n v="542"/>
    <n v="25"/>
    <n v="13550"/>
    <n v="123456789"/>
    <s v="Mumbai"/>
  </r>
  <r>
    <x v="5"/>
    <s v="INV-2301-006"/>
    <n v="123456794"/>
    <s v="ED-IND-UE60O-04"/>
    <x v="0"/>
    <n v="854"/>
    <n v="23"/>
    <n v="19642"/>
    <n v="123456789"/>
    <s v="Pune"/>
  </r>
  <r>
    <x v="6"/>
    <s v="INV-2301-007"/>
    <n v="123456795"/>
    <s v="ED-IND-LN87Z-82"/>
    <x v="0"/>
    <n v="677"/>
    <n v="24"/>
    <n v="16248"/>
    <n v="123456789"/>
    <s v="Pune"/>
  </r>
  <r>
    <x v="7"/>
    <s v="INV-2301-008"/>
    <n v="123456796"/>
    <s v="ED-IND-FF18D-36"/>
    <x v="0"/>
    <n v="706"/>
    <n v="26"/>
    <n v="18356"/>
    <n v="123456789"/>
    <s v="Pune"/>
  </r>
  <r>
    <x v="8"/>
    <s v="INV-2301-009"/>
    <n v="123456797"/>
    <s v="ED-IND-MV42W-01"/>
    <x v="0"/>
    <n v="877"/>
    <n v="26"/>
    <n v="22802"/>
    <n v="123456789"/>
    <s v="Pune"/>
  </r>
  <r>
    <x v="9"/>
    <s v="INV-2301-010"/>
    <n v="123456798"/>
    <s v="ED-IND-NU37O-73"/>
    <x v="0"/>
    <n v="635"/>
    <n v="22"/>
    <n v="13970"/>
    <n v="123456789"/>
    <s v="Mumbai"/>
  </r>
  <r>
    <x v="10"/>
    <s v="INV-2301-011"/>
    <n v="123456799"/>
    <s v="ED-IND-XH20D-48"/>
    <x v="0"/>
    <n v="809"/>
    <n v="31"/>
    <n v="25079"/>
    <n v="123456789"/>
    <s v="Pune"/>
  </r>
  <r>
    <x v="11"/>
    <s v="INV-2301-012"/>
    <n v="123456800"/>
    <s v="PC-IND-QG66C-31"/>
    <x v="1"/>
    <n v="994"/>
    <n v="27"/>
    <n v="26838"/>
    <n v="123456789"/>
    <s v="Mumbai"/>
  </r>
  <r>
    <x v="12"/>
    <s v="INV-2301-013"/>
    <n v="123456801"/>
    <s v="PC-IND-MT94P-31"/>
    <x v="1"/>
    <n v="871"/>
    <n v="23"/>
    <n v="20033"/>
    <n v="123456789"/>
    <s v="Pune"/>
  </r>
  <r>
    <x v="13"/>
    <s v="INV-2301-014"/>
    <n v="123456802"/>
    <s v="ED-IND-PU51D-51"/>
    <x v="0"/>
    <n v="708"/>
    <n v="28"/>
    <n v="19824"/>
    <n v="123456789"/>
    <s v="Mumbai"/>
  </r>
  <r>
    <x v="14"/>
    <s v="INV-2301-015"/>
    <n v="123456803"/>
    <s v="ED-IND-RA85P-82"/>
    <x v="0"/>
    <n v="555"/>
    <n v="25"/>
    <n v="13875"/>
    <n v="123456789"/>
    <s v="Mumbai"/>
  </r>
  <r>
    <x v="15"/>
    <s v="INV-2301-016"/>
    <n v="123456804"/>
    <s v="PC-IND-PR64F-72"/>
    <x v="1"/>
    <n v="875"/>
    <n v="27"/>
    <n v="23625"/>
    <n v="123456789"/>
    <s v="Pune"/>
  </r>
  <r>
    <x v="16"/>
    <s v="INV-2301-017"/>
    <n v="123456805"/>
    <s v="ED-IND-AI38B-83"/>
    <x v="0"/>
    <n v="749"/>
    <n v="26"/>
    <n v="19474"/>
    <n v="123456789"/>
    <s v="Mumbai"/>
  </r>
  <r>
    <x v="17"/>
    <s v="INV-2301-018"/>
    <n v="123456806"/>
    <s v="ED-IND-CA22V-33"/>
    <x v="0"/>
    <n v="970"/>
    <n v="30"/>
    <n v="29100"/>
    <n v="123456789"/>
    <s v="Pune"/>
  </r>
  <r>
    <x v="18"/>
    <s v="INV-2301-019"/>
    <n v="123456807"/>
    <s v="ED-IND-FO54G-12"/>
    <x v="0"/>
    <n v="791"/>
    <n v="27"/>
    <n v="21357"/>
    <n v="123456789"/>
    <s v="Mumbai"/>
  </r>
  <r>
    <x v="19"/>
    <s v="INV-2301-020"/>
    <n v="123456808"/>
    <s v="ED-IND-ML26H-86"/>
    <x v="0"/>
    <n v="926"/>
    <n v="21"/>
    <n v="19446"/>
    <n v="123456789"/>
    <s v="Pune"/>
  </r>
  <r>
    <x v="20"/>
    <s v="INV-2301-021"/>
    <n v="123456809"/>
    <s v="ED-IND-FX95F-95"/>
    <x v="0"/>
    <n v="543"/>
    <n v="22"/>
    <n v="11946"/>
    <n v="123456789"/>
    <s v="Pune"/>
  </r>
  <r>
    <x v="21"/>
    <s v="INV-2301-022"/>
    <n v="123456810"/>
    <s v="PC-IND-PD38L-17"/>
    <x v="1"/>
    <n v="822"/>
    <n v="30"/>
    <n v="24660"/>
    <n v="123456789"/>
    <s v="Pune"/>
  </r>
  <r>
    <x v="22"/>
    <s v="INV-2301-023"/>
    <n v="123456811"/>
    <s v="ED-IND-HZ82F-56"/>
    <x v="0"/>
    <n v="508"/>
    <n v="26"/>
    <n v="13208"/>
    <n v="123456789"/>
    <s v="Pune"/>
  </r>
  <r>
    <x v="23"/>
    <s v="INV-2301-024"/>
    <n v="123456812"/>
    <s v="ED-IND-TS60M-97"/>
    <x v="0"/>
    <n v="620"/>
    <n v="30"/>
    <n v="18600"/>
    <n v="123456789"/>
    <s v="Pune"/>
  </r>
  <r>
    <x v="24"/>
    <s v="INV-2301-025"/>
    <n v="123456813"/>
    <s v="ED-IND-JV82I-92"/>
    <x v="0"/>
    <n v="892"/>
    <n v="25"/>
    <n v="22300"/>
    <n v="123456789"/>
    <s v="Pune"/>
  </r>
  <r>
    <x v="25"/>
    <s v="INV-2301-026"/>
    <n v="123456814"/>
    <s v="PC-IND-GB95C-85"/>
    <x v="1"/>
    <n v="585"/>
    <n v="24"/>
    <n v="14040"/>
    <n v="123456789"/>
    <s v="Pune"/>
  </r>
  <r>
    <x v="26"/>
    <s v="INV-2301-027"/>
    <n v="123456815"/>
    <s v="ED-IND-XN73Y-21"/>
    <x v="0"/>
    <n v="511"/>
    <n v="21"/>
    <n v="10731"/>
    <n v="123456789"/>
    <s v="Pune"/>
  </r>
  <r>
    <x v="27"/>
    <s v="INV-2301-028"/>
    <n v="123456816"/>
    <s v="ED-IND-BU40X-81"/>
    <x v="0"/>
    <n v="800"/>
    <n v="31"/>
    <n v="24800"/>
    <n v="123456789"/>
    <s v="Pune"/>
  </r>
  <r>
    <x v="28"/>
    <s v="INV-2302-029"/>
    <n v="123456817"/>
    <s v="ED-IND-TV20R-31"/>
    <x v="0"/>
    <n v="994"/>
    <n v="21"/>
    <n v="20874"/>
    <n v="123456789"/>
    <s v="Pune"/>
  </r>
  <r>
    <x v="29"/>
    <s v="INV-2302-030"/>
    <n v="123456818"/>
    <s v="ED-IND-UU36L-66"/>
    <x v="0"/>
    <n v="533"/>
    <n v="26"/>
    <n v="13858"/>
    <n v="123456789"/>
    <s v="Pune"/>
  </r>
  <r>
    <x v="30"/>
    <s v="INV-2302-031"/>
    <n v="123456819"/>
    <s v="ED-IND-FE78W-05"/>
    <x v="0"/>
    <n v="998"/>
    <n v="29"/>
    <n v="28942"/>
    <n v="123456789"/>
    <s v="Pune"/>
  </r>
  <r>
    <x v="31"/>
    <s v="INV-2302-032"/>
    <n v="123456820"/>
    <s v="ED-IND-KQ16R-25"/>
    <x v="0"/>
    <n v="851"/>
    <n v="24"/>
    <n v="20424"/>
    <n v="123456789"/>
    <s v="Pune"/>
  </r>
  <r>
    <x v="32"/>
    <s v="INV-2302-033"/>
    <n v="123456821"/>
    <s v="ED-IND-JK94K-77"/>
    <x v="0"/>
    <n v="919"/>
    <n v="21"/>
    <n v="19299"/>
    <n v="123456789"/>
    <s v="Pune"/>
  </r>
  <r>
    <x v="33"/>
    <s v="INV-2302-034"/>
    <n v="123456822"/>
    <s v="ED-IND-CR92V-20"/>
    <x v="0"/>
    <n v="924"/>
    <n v="29"/>
    <n v="26796"/>
    <n v="123456789"/>
    <s v="Pune"/>
  </r>
  <r>
    <x v="34"/>
    <s v="INV-2302-035"/>
    <n v="123456823"/>
    <s v="PC-IND-XL39M-09"/>
    <x v="1"/>
    <n v="716"/>
    <n v="30"/>
    <n v="21480"/>
    <n v="123456789"/>
    <s v="Pune"/>
  </r>
  <r>
    <x v="35"/>
    <s v="INV-2302-036"/>
    <n v="123456824"/>
    <s v="ED-IND-WI83S-42"/>
    <x v="0"/>
    <n v="820"/>
    <n v="28"/>
    <n v="22960"/>
    <n v="123456789"/>
    <s v="Pune"/>
  </r>
  <r>
    <x v="36"/>
    <s v="INV-2302-037"/>
    <n v="123456825"/>
    <s v="ED-IND-ZU15L-03"/>
    <x v="0"/>
    <n v="993"/>
    <n v="31"/>
    <n v="30783"/>
    <n v="123456789"/>
    <s v="Mumbai"/>
  </r>
  <r>
    <x v="37"/>
    <s v="INV-2302-038"/>
    <n v="123456826"/>
    <s v="ED-IND-WW79U-71"/>
    <x v="0"/>
    <n v="857"/>
    <n v="25"/>
    <n v="21425"/>
    <n v="123456789"/>
    <s v="Mumbai"/>
  </r>
  <r>
    <x v="38"/>
    <s v="INV-2302-039"/>
    <n v="123456827"/>
    <s v="ED-IND-ID66P-47"/>
    <x v="0"/>
    <n v="643"/>
    <n v="28"/>
    <n v="18004"/>
    <n v="123456789"/>
    <s v="Pune"/>
  </r>
  <r>
    <x v="39"/>
    <s v="INV-2302-040"/>
    <n v="123456828"/>
    <s v="ED-IND-IZ39P-50"/>
    <x v="0"/>
    <n v="548"/>
    <n v="28"/>
    <n v="15344"/>
    <n v="123456789"/>
    <s v="Pune"/>
  </r>
  <r>
    <x v="40"/>
    <s v="INV-2302-041"/>
    <n v="123456829"/>
    <s v="ED-IND-ZD11V-50"/>
    <x v="0"/>
    <n v="602"/>
    <n v="21"/>
    <n v="12642"/>
    <n v="123456789"/>
    <s v="Pune"/>
  </r>
  <r>
    <x v="41"/>
    <s v="INV-2302-042"/>
    <n v="123456830"/>
    <s v="ED-IND-CA47Q-81"/>
    <x v="0"/>
    <n v="717"/>
    <n v="28"/>
    <n v="20076"/>
    <n v="123456789"/>
    <s v="Pune"/>
  </r>
  <r>
    <x v="42"/>
    <s v="INV-2302-043"/>
    <n v="123456831"/>
    <s v="ED-IND-NI30Z-49"/>
    <x v="0"/>
    <n v="551"/>
    <n v="23"/>
    <n v="12673"/>
    <n v="123456789"/>
    <s v="Pune"/>
  </r>
  <r>
    <x v="43"/>
    <s v="INV-2302-044"/>
    <n v="123456832"/>
    <s v="PC-IND-VT75H-21"/>
    <x v="1"/>
    <n v="951"/>
    <n v="22"/>
    <n v="20922"/>
    <n v="123456789"/>
    <s v="Pune"/>
  </r>
  <r>
    <x v="44"/>
    <s v="INV-2302-045"/>
    <n v="123456833"/>
    <s v="ED-IND-MS12H-50"/>
    <x v="0"/>
    <n v="812"/>
    <n v="28"/>
    <n v="22736"/>
    <n v="123456789"/>
    <s v="Pune"/>
  </r>
  <r>
    <x v="45"/>
    <s v="INV-2302-046"/>
    <n v="123456834"/>
    <s v="ED-IND-QK22X-55"/>
    <x v="0"/>
    <n v="839"/>
    <n v="22"/>
    <n v="18458"/>
    <n v="123456789"/>
    <s v="Pune"/>
  </r>
  <r>
    <x v="46"/>
    <s v="INV-2302-047"/>
    <n v="123456835"/>
    <s v="PC-IND-CL12F-19"/>
    <x v="1"/>
    <n v="586"/>
    <n v="25"/>
    <n v="14650"/>
    <n v="123456789"/>
    <s v="Pune"/>
  </r>
  <r>
    <x v="47"/>
    <s v="INV-2302-048"/>
    <n v="123456836"/>
    <s v="PC-IND-NP93B-18"/>
    <x v="1"/>
    <n v="562"/>
    <n v="28"/>
    <n v="15736"/>
    <n v="123456789"/>
    <s v="Pune"/>
  </r>
  <r>
    <x v="48"/>
    <s v="INV-2302-049"/>
    <n v="123456837"/>
    <s v="PC-IND-IR21R-23"/>
    <x v="1"/>
    <n v="623"/>
    <n v="26"/>
    <n v="16198"/>
    <n v="123456789"/>
    <s v="Pune"/>
  </r>
  <r>
    <x v="49"/>
    <s v="INV-2302-050"/>
    <n v="123456838"/>
    <s v="ED-IND-XW80E-72"/>
    <x v="0"/>
    <n v="989"/>
    <n v="25"/>
    <n v="24725"/>
    <n v="123456789"/>
    <s v="Pune"/>
  </r>
  <r>
    <x v="50"/>
    <s v="INV-2302-051"/>
    <n v="123456839"/>
    <s v="ED-IND-YJ47L-10"/>
    <x v="0"/>
    <n v="886"/>
    <n v="22"/>
    <n v="19492"/>
    <n v="123456789"/>
    <s v="Pune"/>
  </r>
  <r>
    <x v="51"/>
    <s v="INV-2302-052"/>
    <n v="123456840"/>
    <s v="ED-IND-EP58M-95"/>
    <x v="0"/>
    <n v="756"/>
    <n v="25"/>
    <n v="18900"/>
    <n v="123456789"/>
    <s v="Pune"/>
  </r>
  <r>
    <x v="52"/>
    <s v="INV-2302-053"/>
    <n v="123456841"/>
    <s v="ED-IND-FS18J-73"/>
    <x v="0"/>
    <n v="887"/>
    <n v="22"/>
    <n v="19514"/>
    <n v="123456789"/>
    <s v="Pune"/>
  </r>
  <r>
    <x v="53"/>
    <s v="INV-2302-054"/>
    <n v="123456842"/>
    <s v="ED-IND-FA45C-02"/>
    <x v="0"/>
    <n v="946"/>
    <n v="25"/>
    <n v="23650"/>
    <n v="123456789"/>
    <s v="Mumbai"/>
  </r>
  <r>
    <x v="54"/>
    <s v="INV-2302-055"/>
    <n v="123456843"/>
    <s v="ED-IND-CC57K-09"/>
    <x v="0"/>
    <n v="761"/>
    <n v="29"/>
    <n v="22069"/>
    <n v="123456789"/>
    <s v="Mumbai"/>
  </r>
  <r>
    <x v="55"/>
    <s v="INV-2302-056"/>
    <n v="123456844"/>
    <s v="ED-IND-FX72F-78"/>
    <x v="0"/>
    <n v="811"/>
    <n v="27"/>
    <n v="21897"/>
    <n v="123456789"/>
    <s v="Pune"/>
  </r>
  <r>
    <x v="56"/>
    <s v="INV-2303-057"/>
    <n v="123456845"/>
    <s v="ED-IND-KI27I-06"/>
    <x v="0"/>
    <n v="673"/>
    <n v="24"/>
    <n v="16152"/>
    <n v="123456789"/>
    <s v="Pune"/>
  </r>
  <r>
    <x v="57"/>
    <s v="INV-2303-058"/>
    <n v="123456846"/>
    <s v="ED-IND-YO81B-36"/>
    <x v="0"/>
    <n v="881"/>
    <n v="30"/>
    <n v="26430"/>
    <n v="123456789"/>
    <s v="Mumbai"/>
  </r>
  <r>
    <x v="58"/>
    <s v="INV-2303-059"/>
    <n v="123456847"/>
    <s v="ED-IND-FQ15K-66"/>
    <x v="0"/>
    <n v="564"/>
    <n v="26"/>
    <n v="14664"/>
    <n v="123456789"/>
    <s v="Pune"/>
  </r>
  <r>
    <x v="59"/>
    <s v="INV-2303-060"/>
    <n v="123456848"/>
    <s v="ED-IND-KJ36Y-33"/>
    <x v="0"/>
    <n v="534"/>
    <n v="22"/>
    <n v="11748"/>
    <n v="123456789"/>
    <s v="Pune"/>
  </r>
  <r>
    <x v="60"/>
    <s v="INV-2303-061"/>
    <n v="123456849"/>
    <s v="ED-IND-MB85F-81"/>
    <x v="0"/>
    <n v="743"/>
    <n v="24"/>
    <n v="17832"/>
    <n v="123456789"/>
    <s v="Pune"/>
  </r>
  <r>
    <x v="61"/>
    <s v="INV-2303-062"/>
    <n v="123456850"/>
    <s v="ED-IND-KP34Q-49"/>
    <x v="0"/>
    <n v="855"/>
    <n v="31"/>
    <n v="26505"/>
    <n v="123456789"/>
    <s v="Pune"/>
  </r>
  <r>
    <x v="62"/>
    <s v="INV-2303-063"/>
    <n v="123456851"/>
    <s v="ED-IND-UO35Y-84"/>
    <x v="0"/>
    <n v="745"/>
    <n v="29"/>
    <n v="21605"/>
    <n v="123456789"/>
    <s v="Pune"/>
  </r>
  <r>
    <x v="63"/>
    <s v="INV-2303-064"/>
    <n v="123456852"/>
    <s v="ED-IND-WC75U-48"/>
    <x v="0"/>
    <n v="814"/>
    <n v="23"/>
    <n v="18722"/>
    <n v="123456789"/>
    <s v="Pune"/>
  </r>
  <r>
    <x v="64"/>
    <s v="INV-2303-065"/>
    <n v="123456853"/>
    <s v="ED-IND-VI66F-85"/>
    <x v="0"/>
    <n v="596"/>
    <n v="24"/>
    <n v="14304"/>
    <n v="123456789"/>
    <s v="Mumbai"/>
  </r>
  <r>
    <x v="65"/>
    <s v="INV-2303-066"/>
    <n v="123456854"/>
    <s v="ED-IND-YC36B-91"/>
    <x v="0"/>
    <n v="600"/>
    <n v="23"/>
    <n v="13800"/>
    <n v="123456789"/>
    <s v="Pune"/>
  </r>
  <r>
    <x v="66"/>
    <s v="INV-2303-067"/>
    <n v="123456855"/>
    <s v="ED-IND-OY60I-98"/>
    <x v="0"/>
    <n v="559"/>
    <n v="25"/>
    <n v="13975"/>
    <n v="123456789"/>
    <s v="Pune"/>
  </r>
  <r>
    <x v="67"/>
    <s v="INV-2303-068"/>
    <n v="123456856"/>
    <s v="ED-IND-XG60R-26"/>
    <x v="0"/>
    <n v="525"/>
    <n v="27"/>
    <n v="14175"/>
    <n v="123456789"/>
    <s v="Pune"/>
  </r>
  <r>
    <x v="68"/>
    <s v="INV-2303-069"/>
    <n v="123456857"/>
    <s v="ED-IND-CS52R-24"/>
    <x v="0"/>
    <n v="515"/>
    <n v="23"/>
    <n v="11845"/>
    <n v="123456789"/>
    <s v="Mumbai"/>
  </r>
  <r>
    <x v="69"/>
    <s v="INV-2303-070"/>
    <n v="123456858"/>
    <s v="PC-IND-NV48C-82"/>
    <x v="1"/>
    <n v="994"/>
    <n v="31"/>
    <n v="30814"/>
    <n v="123456789"/>
    <s v="Mumbai"/>
  </r>
  <r>
    <x v="70"/>
    <s v="INV-2303-071"/>
    <n v="123456859"/>
    <s v="ED-IND-NX28D-24"/>
    <x v="0"/>
    <n v="612"/>
    <n v="30"/>
    <n v="18360"/>
    <n v="123456789"/>
    <s v="Pune"/>
  </r>
  <r>
    <x v="71"/>
    <s v="INV-2303-072"/>
    <n v="123456860"/>
    <s v="ED-IND-CH77P-15"/>
    <x v="0"/>
    <n v="600"/>
    <n v="24"/>
    <n v="14400"/>
    <n v="123456789"/>
    <s v="Pune"/>
  </r>
  <r>
    <x v="72"/>
    <s v="INV-2303-073"/>
    <n v="123456861"/>
    <s v="PC-IND-UH37Z-41"/>
    <x v="1"/>
    <n v="796"/>
    <n v="27"/>
    <n v="21492"/>
    <n v="123456789"/>
    <s v="Pune"/>
  </r>
  <r>
    <x v="73"/>
    <s v="INV-2303-074"/>
    <n v="123456862"/>
    <s v="ED-IND-ZO41P-67"/>
    <x v="0"/>
    <n v="646"/>
    <n v="28"/>
    <n v="18088"/>
    <n v="123456789"/>
    <s v="Pune"/>
  </r>
  <r>
    <x v="74"/>
    <s v="INV-2303-075"/>
    <n v="123456863"/>
    <s v="ED-IND-GX35M-86"/>
    <x v="0"/>
    <n v="904"/>
    <n v="28"/>
    <n v="25312"/>
    <n v="123456789"/>
    <s v="Pune"/>
  </r>
  <r>
    <x v="75"/>
    <s v="INV-2303-076"/>
    <n v="123456864"/>
    <s v="ED-IND-OU56N-39"/>
    <x v="0"/>
    <n v="658"/>
    <n v="24"/>
    <n v="15792"/>
    <n v="123456789"/>
    <s v="Pune"/>
  </r>
  <r>
    <x v="76"/>
    <s v="INV-2303-077"/>
    <n v="123456865"/>
    <s v="ED-IND-UI23S-73"/>
    <x v="0"/>
    <n v="579"/>
    <n v="31"/>
    <n v="17949"/>
    <n v="123456789"/>
    <s v="Mumbai"/>
  </r>
  <r>
    <x v="77"/>
    <s v="INV-2303-078"/>
    <n v="123456866"/>
    <s v="PC-IND-UM23Y-80"/>
    <x v="1"/>
    <n v="850"/>
    <n v="27"/>
    <n v="22950"/>
    <n v="123456789"/>
    <s v="Pune"/>
  </r>
  <r>
    <x v="78"/>
    <s v="INV-2303-079"/>
    <n v="123456867"/>
    <s v="ED-IND-HV35O-07"/>
    <x v="0"/>
    <n v="760"/>
    <n v="21"/>
    <n v="15960"/>
    <n v="123456789"/>
    <s v="Pune"/>
  </r>
  <r>
    <x v="79"/>
    <s v="INV-2303-080"/>
    <n v="123456868"/>
    <s v="ED-IND-EA54N-59"/>
    <x v="0"/>
    <n v="826"/>
    <n v="30"/>
    <n v="24780"/>
    <n v="123456789"/>
    <s v="Mumbai"/>
  </r>
  <r>
    <x v="80"/>
    <s v="INV-2303-081"/>
    <n v="123456869"/>
    <s v="ED-IND-OF90U-44"/>
    <x v="0"/>
    <n v="996"/>
    <n v="21"/>
    <n v="20916"/>
    <n v="123456789"/>
    <s v="Mumbai"/>
  </r>
  <r>
    <x v="81"/>
    <s v="INV-2303-082"/>
    <n v="123456870"/>
    <s v="ED-IND-CG97S-91"/>
    <x v="0"/>
    <n v="687"/>
    <n v="23"/>
    <n v="15801"/>
    <n v="123456789"/>
    <s v="Pune"/>
  </r>
  <r>
    <x v="82"/>
    <s v="INV-2303-083"/>
    <n v="123456871"/>
    <s v="PC-IND-XP23F-58"/>
    <x v="1"/>
    <n v="801"/>
    <n v="22"/>
    <n v="17622"/>
    <n v="123456789"/>
    <s v="Mumbai"/>
  </r>
  <r>
    <x v="83"/>
    <s v="INV-2303-084"/>
    <n v="123456872"/>
    <s v="ED-IND-MB35F-33"/>
    <x v="0"/>
    <n v="654"/>
    <n v="28"/>
    <n v="18312"/>
    <n v="123456789"/>
    <s v="Pune"/>
  </r>
  <r>
    <x v="84"/>
    <s v="INV-2303-085"/>
    <n v="123456873"/>
    <s v="PC-IND-ER23B-32"/>
    <x v="1"/>
    <n v="861"/>
    <n v="30"/>
    <n v="25830"/>
    <n v="123456789"/>
    <s v="Mumbai"/>
  </r>
  <r>
    <x v="85"/>
    <s v="INV-2303-086"/>
    <n v="123456874"/>
    <s v="ED-IND-TK21X-49"/>
    <x v="0"/>
    <n v="670"/>
    <n v="26"/>
    <n v="17420"/>
    <n v="123456789"/>
    <s v="Pune"/>
  </r>
  <r>
    <x v="86"/>
    <s v="INV-2303-087"/>
    <n v="123456875"/>
    <s v="ED-IND-MD71Z-33"/>
    <x v="0"/>
    <n v="679"/>
    <n v="29"/>
    <n v="19691"/>
    <n v="123456789"/>
    <s v="Mumbai"/>
  </r>
  <r>
    <x v="87"/>
    <s v="INV-2304-088"/>
    <n v="123456876"/>
    <s v="ED-IND-RE23I-36"/>
    <x v="0"/>
    <n v="737"/>
    <n v="28"/>
    <n v="20636"/>
    <n v="123456789"/>
    <s v="Pune"/>
  </r>
  <r>
    <x v="88"/>
    <s v="INV-2304-089"/>
    <n v="123456877"/>
    <s v="ED-IND-SO10G-98"/>
    <x v="0"/>
    <n v="875"/>
    <n v="31"/>
    <n v="27125"/>
    <n v="123456789"/>
    <s v="Mumbai"/>
  </r>
  <r>
    <x v="89"/>
    <s v="INV-2304-090"/>
    <n v="123456878"/>
    <s v="ED-IND-OT97S-95"/>
    <x v="0"/>
    <n v="624"/>
    <n v="21"/>
    <n v="13104"/>
    <n v="123456789"/>
    <s v="Pune"/>
  </r>
  <r>
    <x v="90"/>
    <s v="INV-2304-091"/>
    <n v="123456879"/>
    <s v="ED-IND-VE46H-87"/>
    <x v="0"/>
    <n v="965"/>
    <n v="28"/>
    <n v="27020"/>
    <n v="123456789"/>
    <s v="Pune"/>
  </r>
  <r>
    <x v="91"/>
    <s v="INV-2304-092"/>
    <n v="123456880"/>
    <s v="ED-IND-WT93J-16"/>
    <x v="0"/>
    <n v="905"/>
    <n v="25"/>
    <n v="22625"/>
    <n v="123456789"/>
    <s v="Mumbai"/>
  </r>
  <r>
    <x v="92"/>
    <s v="INV-2304-093"/>
    <n v="123456881"/>
    <s v="ED-IND-XG21Z-52"/>
    <x v="0"/>
    <n v="745"/>
    <n v="31"/>
    <n v="23095"/>
    <n v="123456789"/>
    <s v="Pune"/>
  </r>
  <r>
    <x v="93"/>
    <s v="INV-2304-094"/>
    <n v="123456882"/>
    <s v="ED-IND-RV23E-35"/>
    <x v="0"/>
    <n v="937"/>
    <n v="25"/>
    <n v="23425"/>
    <n v="123456789"/>
    <s v="Pune"/>
  </r>
  <r>
    <x v="94"/>
    <s v="INV-2304-095"/>
    <n v="123456883"/>
    <s v="PC-IND-LZ75M-90"/>
    <x v="1"/>
    <n v="879"/>
    <n v="24"/>
    <n v="21096"/>
    <n v="123456789"/>
    <s v="Pune"/>
  </r>
  <r>
    <x v="95"/>
    <s v="INV-2304-096"/>
    <n v="123456884"/>
    <s v="ED-IND-UQ77Y-73"/>
    <x v="0"/>
    <n v="530"/>
    <n v="21"/>
    <n v="11130"/>
    <n v="123456789"/>
    <s v="Pune"/>
  </r>
  <r>
    <x v="96"/>
    <s v="INV-2304-097"/>
    <n v="123456885"/>
    <s v="ED-IND-VZ33V-78"/>
    <x v="0"/>
    <n v="787"/>
    <n v="25"/>
    <n v="19675"/>
    <n v="123456789"/>
    <s v="Pune"/>
  </r>
  <r>
    <x v="97"/>
    <s v="INV-2304-098"/>
    <n v="123456886"/>
    <s v="ED-IND-KP29U-64"/>
    <x v="0"/>
    <n v="683"/>
    <n v="29"/>
    <n v="19807"/>
    <n v="123456789"/>
    <s v="Pune"/>
  </r>
  <r>
    <x v="98"/>
    <s v="INV-2304-099"/>
    <n v="123456887"/>
    <s v="ED-IND-VL64H-61"/>
    <x v="0"/>
    <n v="714"/>
    <n v="22"/>
    <n v="15708"/>
    <n v="123456789"/>
    <s v="Pune"/>
  </r>
  <r>
    <x v="99"/>
    <s v="INV-2304-100"/>
    <n v="123456888"/>
    <s v="ED-IND-GP92Y-40"/>
    <x v="0"/>
    <n v="647"/>
    <n v="31"/>
    <n v="20057"/>
    <n v="123456789"/>
    <s v="Pune"/>
  </r>
  <r>
    <x v="100"/>
    <s v="INV-2304-101"/>
    <n v="123456889"/>
    <s v="ED-IND-TL47X-97"/>
    <x v="0"/>
    <n v="625"/>
    <n v="22"/>
    <n v="13750"/>
    <n v="123456789"/>
    <s v="Pune"/>
  </r>
  <r>
    <x v="101"/>
    <s v="INV-2304-102"/>
    <n v="123456890"/>
    <s v="ED-IND-II58Q-32"/>
    <x v="0"/>
    <n v="558"/>
    <n v="23"/>
    <n v="12834"/>
    <n v="123456789"/>
    <s v="Pune"/>
  </r>
  <r>
    <x v="102"/>
    <s v="INV-2304-103"/>
    <n v="123456891"/>
    <s v="ED-IND-ER35R-77"/>
    <x v="0"/>
    <n v="963"/>
    <n v="25"/>
    <n v="24075"/>
    <n v="123456789"/>
    <s v="Pune"/>
  </r>
  <r>
    <x v="103"/>
    <s v="INV-2304-104"/>
    <n v="123456892"/>
    <s v="ED-IND-PH61H-24"/>
    <x v="0"/>
    <n v="714"/>
    <n v="30"/>
    <n v="21420"/>
    <n v="123456789"/>
    <s v="Pune"/>
  </r>
  <r>
    <x v="104"/>
    <s v="INV-2304-105"/>
    <n v="123456893"/>
    <s v="ED-IND-IY70N-61"/>
    <x v="0"/>
    <n v="620"/>
    <n v="27"/>
    <n v="16740"/>
    <n v="123456789"/>
    <s v="Pune"/>
  </r>
  <r>
    <x v="105"/>
    <s v="INV-2304-106"/>
    <n v="123456894"/>
    <s v="ED-IND-HE74P-83"/>
    <x v="0"/>
    <n v="659"/>
    <n v="22"/>
    <n v="14498"/>
    <n v="123456789"/>
    <s v="Pune"/>
  </r>
  <r>
    <x v="106"/>
    <s v="INV-2304-107"/>
    <n v="123456895"/>
    <s v="PC-IND-VW41Z-97"/>
    <x v="1"/>
    <n v="917"/>
    <n v="26"/>
    <n v="23842"/>
    <n v="123456789"/>
    <s v="Pune"/>
  </r>
  <r>
    <x v="107"/>
    <s v="INV-2304-108"/>
    <n v="123456896"/>
    <s v="ED-IND-UT28M-18"/>
    <x v="0"/>
    <n v="912"/>
    <n v="22"/>
    <n v="20064"/>
    <n v="123456789"/>
    <s v="Pune"/>
  </r>
  <r>
    <x v="108"/>
    <s v="INV-2304-109"/>
    <n v="123456897"/>
    <s v="PC-IND-XN35M-02"/>
    <x v="1"/>
    <n v="695"/>
    <n v="31"/>
    <n v="21545"/>
    <n v="123456789"/>
    <s v="Pune"/>
  </r>
  <r>
    <x v="109"/>
    <s v="INV-2304-110"/>
    <n v="123456898"/>
    <s v="ED-IND-UL71Z-17"/>
    <x v="0"/>
    <n v="856"/>
    <n v="29"/>
    <n v="24824"/>
    <n v="123456789"/>
    <s v="Pune"/>
  </r>
  <r>
    <x v="110"/>
    <s v="INV-2304-111"/>
    <n v="123456899"/>
    <s v="ED-IND-AA26A-76"/>
    <x v="0"/>
    <n v="502"/>
    <n v="27"/>
    <n v="13554"/>
    <n v="123456789"/>
    <s v="Pune"/>
  </r>
  <r>
    <x v="111"/>
    <s v="INV-2304-112"/>
    <n v="123456900"/>
    <s v="ED-IND-MJ79D-93"/>
    <x v="0"/>
    <n v="985"/>
    <n v="24"/>
    <n v="23640"/>
    <n v="123456789"/>
    <s v="Mumbai"/>
  </r>
  <r>
    <x v="112"/>
    <s v="INV-2304-113"/>
    <n v="123456901"/>
    <s v="ED-IND-SF95H-66"/>
    <x v="0"/>
    <n v="720"/>
    <n v="26"/>
    <n v="18720"/>
    <n v="123456789"/>
    <s v="Mumbai"/>
  </r>
  <r>
    <x v="113"/>
    <s v="INV-2304-114"/>
    <n v="123456902"/>
    <s v="ED-IND-MQ12S-87"/>
    <x v="0"/>
    <n v="616"/>
    <n v="22"/>
    <n v="13552"/>
    <n v="123456789"/>
    <s v="Pune"/>
  </r>
  <r>
    <x v="114"/>
    <s v="INV-2304-115"/>
    <n v="123456903"/>
    <s v="PC-IND-IU84Q-90"/>
    <x v="1"/>
    <n v="812"/>
    <n v="27"/>
    <n v="21924"/>
    <n v="123456789"/>
    <s v="Pune"/>
  </r>
  <r>
    <x v="115"/>
    <s v="INV-2304-116"/>
    <n v="123456904"/>
    <s v="ED-IND-RT72V-13"/>
    <x v="0"/>
    <n v="906"/>
    <n v="22"/>
    <n v="19932"/>
    <n v="123456789"/>
    <s v="Pune"/>
  </r>
  <r>
    <x v="116"/>
    <s v="INV-2304-117"/>
    <n v="123456905"/>
    <s v="PC-IND-WK47S-81"/>
    <x v="1"/>
    <n v="645"/>
    <n v="28"/>
    <n v="18060"/>
    <n v="123456789"/>
    <s v="Mumbai"/>
  </r>
  <r>
    <x v="117"/>
    <s v="INV-2305-118"/>
    <n v="123456906"/>
    <s v="PC-IND-TW63H-80"/>
    <x v="1"/>
    <n v="762"/>
    <n v="30"/>
    <n v="22860"/>
    <n v="123456789"/>
    <s v="Pune"/>
  </r>
  <r>
    <x v="118"/>
    <s v="INV-2305-119"/>
    <n v="123456907"/>
    <s v="ED-IND-BR76A-77"/>
    <x v="0"/>
    <n v="753"/>
    <n v="25"/>
    <n v="18825"/>
    <n v="123456789"/>
    <s v="Pune"/>
  </r>
  <r>
    <x v="119"/>
    <s v="INV-2305-120"/>
    <n v="123456908"/>
    <s v="ED-IND-MM78P-45"/>
    <x v="0"/>
    <n v="585"/>
    <n v="24"/>
    <n v="14040"/>
    <n v="123456789"/>
    <s v="Mumbai"/>
  </r>
  <r>
    <x v="120"/>
    <s v="INV-2305-121"/>
    <n v="123456909"/>
    <s v="PC-IND-DG52B-54"/>
    <x v="1"/>
    <n v="589"/>
    <n v="23"/>
    <n v="13547"/>
    <n v="123456789"/>
    <s v="Pune"/>
  </r>
  <r>
    <x v="121"/>
    <s v="INV-2305-122"/>
    <n v="123456910"/>
    <s v="PC-IND-MV76M-83"/>
    <x v="1"/>
    <n v="808"/>
    <n v="25"/>
    <n v="20200"/>
    <n v="123456789"/>
    <s v="Pune"/>
  </r>
  <r>
    <x v="122"/>
    <s v="INV-2305-123"/>
    <n v="123456911"/>
    <s v="ED-IND-FP44R-79"/>
    <x v="0"/>
    <n v="937"/>
    <n v="24"/>
    <n v="22488"/>
    <n v="123456789"/>
    <s v="Pune"/>
  </r>
  <r>
    <x v="123"/>
    <s v="INV-2305-124"/>
    <n v="123456912"/>
    <s v="PC-IND-DM64N-37"/>
    <x v="1"/>
    <n v="778"/>
    <n v="28"/>
    <n v="21784"/>
    <n v="123456789"/>
    <s v="Mumbai"/>
  </r>
  <r>
    <x v="124"/>
    <s v="INV-2305-125"/>
    <n v="123456913"/>
    <s v="ED-IND-XR61C-74"/>
    <x v="0"/>
    <n v="779"/>
    <n v="29"/>
    <n v="22591"/>
    <n v="123456789"/>
    <s v="Pune"/>
  </r>
  <r>
    <x v="125"/>
    <s v="INV-2305-126"/>
    <n v="123456914"/>
    <s v="ED-IND-CB30K-49"/>
    <x v="0"/>
    <n v="644"/>
    <n v="22"/>
    <n v="14168"/>
    <n v="123456789"/>
    <s v="Pune"/>
  </r>
  <r>
    <x v="126"/>
    <s v="INV-2305-127"/>
    <n v="123456915"/>
    <s v="PC-IND-EO77C-98"/>
    <x v="1"/>
    <n v="944"/>
    <n v="23"/>
    <n v="21712"/>
    <n v="123456789"/>
    <s v="Pune"/>
  </r>
  <r>
    <x v="127"/>
    <s v="INV-2305-128"/>
    <n v="123456916"/>
    <s v="ED-IND-VV87X-21"/>
    <x v="0"/>
    <n v="969"/>
    <n v="28"/>
    <n v="27132"/>
    <n v="123456789"/>
    <s v="Mumbai"/>
  </r>
  <r>
    <x v="128"/>
    <s v="INV-2305-129"/>
    <n v="123456917"/>
    <s v="PC-IND-GW27A-65"/>
    <x v="1"/>
    <n v="595"/>
    <n v="24"/>
    <n v="14280"/>
    <n v="123456789"/>
    <s v="Pune"/>
  </r>
  <r>
    <x v="129"/>
    <s v="INV-2305-130"/>
    <n v="123456918"/>
    <s v="ED-IND-XN87L-73"/>
    <x v="0"/>
    <n v="636"/>
    <n v="23"/>
    <n v="14628"/>
    <n v="123456789"/>
    <s v="Pune"/>
  </r>
  <r>
    <x v="130"/>
    <s v="INV-2305-131"/>
    <n v="123456919"/>
    <s v="ED-IND-FB17Y-80"/>
    <x v="0"/>
    <n v="696"/>
    <n v="31"/>
    <n v="21576"/>
    <n v="123456789"/>
    <s v="Pune"/>
  </r>
  <r>
    <x v="131"/>
    <s v="INV-2305-132"/>
    <n v="123456920"/>
    <s v="ED-IND-OZ92E-17"/>
    <x v="0"/>
    <n v="800"/>
    <n v="27"/>
    <n v="21600"/>
    <n v="123456789"/>
    <s v="Pune"/>
  </r>
  <r>
    <x v="132"/>
    <s v="INV-2305-133"/>
    <n v="123456921"/>
    <s v="PC-IND-AR30L-03"/>
    <x v="1"/>
    <n v="525"/>
    <n v="25"/>
    <n v="13125"/>
    <n v="123456789"/>
    <s v="Pune"/>
  </r>
  <r>
    <x v="133"/>
    <s v="INV-2305-134"/>
    <n v="123456922"/>
    <s v="ED-IND-DY20U-42"/>
    <x v="0"/>
    <n v="996"/>
    <n v="27"/>
    <n v="26892"/>
    <n v="123456789"/>
    <s v="Pune"/>
  </r>
  <r>
    <x v="134"/>
    <s v="INV-2305-135"/>
    <n v="123456923"/>
    <s v="ED-IND-ZU27L-78"/>
    <x v="0"/>
    <n v="868"/>
    <n v="31"/>
    <n v="26908"/>
    <n v="123456789"/>
    <s v="Pune"/>
  </r>
  <r>
    <x v="135"/>
    <s v="INV-2305-136"/>
    <n v="123456924"/>
    <s v="PC-IND-AA95K-32"/>
    <x v="1"/>
    <n v="553"/>
    <n v="21"/>
    <n v="11613"/>
    <n v="123456789"/>
    <s v="Pune"/>
  </r>
  <r>
    <x v="136"/>
    <s v="INV-2305-137"/>
    <n v="123456925"/>
    <s v="PC-IND-YU86O-53"/>
    <x v="1"/>
    <n v="945"/>
    <n v="26"/>
    <n v="24570"/>
    <n v="123456789"/>
    <s v="Pune"/>
  </r>
  <r>
    <x v="137"/>
    <s v="INV-2305-138"/>
    <n v="123456926"/>
    <s v="ED-IND-ID18M-77"/>
    <x v="0"/>
    <n v="968"/>
    <n v="27"/>
    <n v="26136"/>
    <n v="123456789"/>
    <s v="Pune"/>
  </r>
  <r>
    <x v="138"/>
    <s v="INV-2305-139"/>
    <n v="123456927"/>
    <s v="PC-IND-VU50J-77"/>
    <x v="1"/>
    <n v="500"/>
    <n v="22"/>
    <n v="11000"/>
    <n v="123456789"/>
    <s v="Mumbai"/>
  </r>
  <r>
    <x v="139"/>
    <s v="INV-2305-140"/>
    <n v="123456928"/>
    <s v="PC-IND-VX87Y-93"/>
    <x v="1"/>
    <n v="950"/>
    <n v="27"/>
    <n v="25650"/>
    <n v="123456789"/>
    <s v="Pune"/>
  </r>
  <r>
    <x v="140"/>
    <s v="INV-2305-141"/>
    <n v="123456929"/>
    <s v="ED-IND-DJ47L-80"/>
    <x v="0"/>
    <n v="651"/>
    <n v="27"/>
    <n v="17577"/>
    <n v="123456789"/>
    <s v="Pune"/>
  </r>
  <r>
    <x v="141"/>
    <s v="INV-2305-142"/>
    <n v="123456930"/>
    <s v="ED-IND-XP42E-43"/>
    <x v="0"/>
    <n v="541"/>
    <n v="23"/>
    <n v="12443"/>
    <n v="123456789"/>
    <s v="Pune"/>
  </r>
  <r>
    <x v="142"/>
    <s v="INV-2305-143"/>
    <n v="123456931"/>
    <s v="PC-IND-IU42B-45"/>
    <x v="1"/>
    <n v="897"/>
    <n v="21"/>
    <n v="18837"/>
    <n v="123456789"/>
    <s v="Pune"/>
  </r>
  <r>
    <x v="143"/>
    <s v="INV-2305-144"/>
    <n v="123456932"/>
    <s v="ED-IND-ZQ39I-19"/>
    <x v="0"/>
    <n v="638"/>
    <n v="22"/>
    <n v="14036"/>
    <n v="123456789"/>
    <s v="Pune"/>
  </r>
  <r>
    <x v="144"/>
    <s v="INV-2305-145"/>
    <n v="123456933"/>
    <s v="ED-IND-BB24J-39"/>
    <x v="0"/>
    <n v="502"/>
    <n v="28"/>
    <n v="14056"/>
    <n v="123456789"/>
    <s v="Pune"/>
  </r>
  <r>
    <x v="145"/>
    <s v="INV-2305-146"/>
    <n v="123456934"/>
    <s v="PC-IND-JF71I-05"/>
    <x v="1"/>
    <n v="920"/>
    <n v="24"/>
    <n v="22080"/>
    <n v="123456789"/>
    <s v="Pune"/>
  </r>
  <r>
    <x v="146"/>
    <s v="INV-2305-147"/>
    <n v="123456935"/>
    <s v="ED-IND-ZB28A-23"/>
    <x v="0"/>
    <n v="581"/>
    <n v="29"/>
    <n v="16849"/>
    <n v="123456789"/>
    <s v="Pune"/>
  </r>
  <r>
    <x v="147"/>
    <s v="INV-2305-148"/>
    <n v="123456936"/>
    <s v="ED-IND-FD60O-17"/>
    <x v="0"/>
    <n v="623"/>
    <n v="29"/>
    <n v="18067"/>
    <n v="123456789"/>
    <s v="Pune"/>
  </r>
  <r>
    <x v="148"/>
    <s v="INV-2306-149"/>
    <n v="123456937"/>
    <s v="ED-IND-JP69R-33"/>
    <x v="0"/>
    <n v="769"/>
    <n v="25"/>
    <n v="19225"/>
    <n v="123456789"/>
    <s v="Pune"/>
  </r>
  <r>
    <x v="149"/>
    <s v="INV-2306-150"/>
    <n v="123456938"/>
    <s v="PC-IND-JW93B-08"/>
    <x v="1"/>
    <n v="793"/>
    <n v="25"/>
    <n v="19825"/>
    <n v="123456789"/>
    <s v="Pune"/>
  </r>
  <r>
    <x v="150"/>
    <s v="INV-2306-151"/>
    <n v="123456939"/>
    <s v="ED-IND-HV15T-18"/>
    <x v="0"/>
    <n v="922"/>
    <n v="27"/>
    <n v="24894"/>
    <n v="123456789"/>
    <s v="Pune"/>
  </r>
  <r>
    <x v="151"/>
    <s v="INV-2306-152"/>
    <n v="123456940"/>
    <s v="PC-IND-CX62J-79"/>
    <x v="1"/>
    <n v="862"/>
    <n v="22"/>
    <n v="18964"/>
    <n v="123456789"/>
    <s v="Mumbai"/>
  </r>
  <r>
    <x v="152"/>
    <s v="INV-2306-153"/>
    <n v="123456941"/>
    <s v="PC-IND-RL65M-40"/>
    <x v="1"/>
    <n v="568"/>
    <n v="30"/>
    <n v="17040"/>
    <n v="123456789"/>
    <s v="Pune"/>
  </r>
  <r>
    <x v="153"/>
    <s v="INV-2306-154"/>
    <n v="123456942"/>
    <s v="ED-IND-HW16X-13"/>
    <x v="0"/>
    <n v="692"/>
    <n v="25"/>
    <n v="17300"/>
    <n v="123456789"/>
    <s v="Mumbai"/>
  </r>
  <r>
    <x v="154"/>
    <s v="INV-2306-155"/>
    <n v="123456943"/>
    <s v="ED-IND-HH29Q-75"/>
    <x v="0"/>
    <n v="537"/>
    <n v="27"/>
    <n v="14499"/>
    <n v="123456789"/>
    <s v="Pune"/>
  </r>
  <r>
    <x v="155"/>
    <s v="INV-2306-156"/>
    <n v="123456944"/>
    <s v="PC-IND-QE88W-96"/>
    <x v="1"/>
    <n v="950"/>
    <n v="31"/>
    <n v="29450"/>
    <n v="123456789"/>
    <s v="Mumbai"/>
  </r>
  <r>
    <x v="156"/>
    <s v="INV-2306-157"/>
    <n v="123456945"/>
    <s v="PC-IND-RX73P-03"/>
    <x v="1"/>
    <n v="932"/>
    <n v="26"/>
    <n v="24232"/>
    <n v="123456789"/>
    <s v="Mumbai"/>
  </r>
  <r>
    <x v="157"/>
    <s v="INV-2306-158"/>
    <n v="123456946"/>
    <s v="ED-IND-MB39T-59"/>
    <x v="0"/>
    <n v="736"/>
    <n v="22"/>
    <n v="16192"/>
    <n v="123456789"/>
    <s v="Pune"/>
  </r>
  <r>
    <x v="158"/>
    <s v="INV-2306-159"/>
    <n v="123456947"/>
    <s v="ED-IND-BW38U-47"/>
    <x v="0"/>
    <n v="570"/>
    <n v="31"/>
    <n v="17670"/>
    <n v="123456789"/>
    <s v="Pune"/>
  </r>
  <r>
    <x v="159"/>
    <s v="INV-2306-160"/>
    <n v="123456948"/>
    <s v="PC-IND-EO84I-36"/>
    <x v="1"/>
    <n v="980"/>
    <n v="24"/>
    <n v="23520"/>
    <n v="123456789"/>
    <s v="Pune"/>
  </r>
  <r>
    <x v="160"/>
    <s v="INV-2306-161"/>
    <n v="123456949"/>
    <s v="ED-IND-WL61O-84"/>
    <x v="0"/>
    <n v="635"/>
    <n v="26"/>
    <n v="16510"/>
    <n v="123456789"/>
    <s v="Mumbai"/>
  </r>
  <r>
    <x v="161"/>
    <s v="INV-2306-162"/>
    <n v="123456950"/>
    <s v="ED-IND-KC36K-52"/>
    <x v="0"/>
    <n v="819"/>
    <n v="31"/>
    <n v="25389"/>
    <n v="123456789"/>
    <s v="Pune"/>
  </r>
  <r>
    <x v="162"/>
    <s v="INV-2306-163"/>
    <n v="123456951"/>
    <s v="ED-IND-WW62W-14"/>
    <x v="0"/>
    <n v="950"/>
    <n v="23"/>
    <n v="21850"/>
    <n v="123456789"/>
    <s v="Pune"/>
  </r>
  <r>
    <x v="163"/>
    <s v="INV-2306-164"/>
    <n v="123456952"/>
    <s v="ED-IND-QH29J-65"/>
    <x v="0"/>
    <n v="517"/>
    <n v="30"/>
    <n v="15510"/>
    <n v="123456789"/>
    <s v="Pune"/>
  </r>
  <r>
    <x v="164"/>
    <s v="INV-2306-165"/>
    <n v="123456953"/>
    <s v="PC-IND-RM93X-65"/>
    <x v="1"/>
    <n v="696"/>
    <n v="27"/>
    <n v="18792"/>
    <n v="123456789"/>
    <s v="Mumbai"/>
  </r>
  <r>
    <x v="165"/>
    <s v="INV-2306-166"/>
    <n v="123456954"/>
    <s v="ED-IND-HM49Y-33"/>
    <x v="0"/>
    <n v="771"/>
    <n v="30"/>
    <n v="23130"/>
    <n v="123456789"/>
    <s v="Pune"/>
  </r>
  <r>
    <x v="166"/>
    <s v="INV-2306-167"/>
    <n v="123456955"/>
    <s v="ED-IND-DQ83D-43"/>
    <x v="0"/>
    <n v="646"/>
    <n v="26"/>
    <n v="16796"/>
    <n v="123456789"/>
    <s v="Pune"/>
  </r>
  <r>
    <x v="167"/>
    <s v="INV-2306-168"/>
    <n v="123456956"/>
    <s v="ED-IND-XW30O-73"/>
    <x v="0"/>
    <n v="966"/>
    <n v="25"/>
    <n v="24150"/>
    <n v="123456789"/>
    <s v="Pune"/>
  </r>
  <r>
    <x v="168"/>
    <s v="INV-2306-169"/>
    <n v="123456957"/>
    <s v="ED-IND-WD72V-49"/>
    <x v="0"/>
    <n v="955"/>
    <n v="26"/>
    <n v="24830"/>
    <n v="123456789"/>
    <s v="Pune"/>
  </r>
  <r>
    <x v="169"/>
    <s v="INV-2306-170"/>
    <n v="123456958"/>
    <s v="ED-IND-UQ39G-27"/>
    <x v="0"/>
    <n v="910"/>
    <n v="30"/>
    <n v="27300"/>
    <n v="123456789"/>
    <s v="Pune"/>
  </r>
  <r>
    <x v="170"/>
    <s v="INV-2306-171"/>
    <n v="123456959"/>
    <s v="PC-IND-AJ59T-02"/>
    <x v="1"/>
    <n v="945"/>
    <n v="23"/>
    <n v="21735"/>
    <n v="123456789"/>
    <s v="Mumbai"/>
  </r>
  <r>
    <x v="171"/>
    <s v="INV-2306-172"/>
    <n v="123456960"/>
    <s v="ED-IND-HF61S-91"/>
    <x v="0"/>
    <n v="563"/>
    <n v="27"/>
    <n v="15201"/>
    <n v="123456789"/>
    <s v="Pune"/>
  </r>
  <r>
    <x v="172"/>
    <s v="INV-2306-173"/>
    <n v="123456961"/>
    <s v="ED-IND-DC63G-90"/>
    <x v="0"/>
    <n v="727"/>
    <n v="28"/>
    <n v="20356"/>
    <n v="123456789"/>
    <s v="Pune"/>
  </r>
  <r>
    <x v="173"/>
    <s v="INV-2306-174"/>
    <n v="123456962"/>
    <s v="PC-IND-FW87C-92"/>
    <x v="1"/>
    <n v="649"/>
    <n v="28"/>
    <n v="18172"/>
    <n v="123456789"/>
    <s v="Mumbai"/>
  </r>
  <r>
    <x v="174"/>
    <s v="INV-2306-175"/>
    <n v="123456963"/>
    <s v="ED-IND-ZW82C-29"/>
    <x v="0"/>
    <n v="668"/>
    <n v="22"/>
    <n v="14696"/>
    <n v="123456789"/>
    <s v="Pune"/>
  </r>
  <r>
    <x v="175"/>
    <s v="INV-2306-176"/>
    <n v="123456964"/>
    <s v="PC-IND-TX99P-95"/>
    <x v="1"/>
    <n v="819"/>
    <n v="29"/>
    <n v="23751"/>
    <n v="123456789"/>
    <s v="Pune"/>
  </r>
  <r>
    <x v="176"/>
    <s v="INV-2306-177"/>
    <n v="123456965"/>
    <s v="ED-IND-MH15V-88"/>
    <x v="0"/>
    <n v="510"/>
    <n v="26"/>
    <n v="13260"/>
    <n v="123456789"/>
    <s v="Pune"/>
  </r>
  <r>
    <x v="177"/>
    <s v="INV-2306-178"/>
    <n v="123456966"/>
    <s v="ED-IND-XB68E-28"/>
    <x v="0"/>
    <n v="755"/>
    <n v="28"/>
    <n v="21140"/>
    <n v="123456789"/>
    <s v="Pune"/>
  </r>
  <r>
    <x v="178"/>
    <s v="INV-2307-179"/>
    <n v="123456967"/>
    <s v="ED-IND-NK30D-60"/>
    <x v="0"/>
    <n v="654"/>
    <n v="30"/>
    <n v="19620"/>
    <n v="123456789"/>
    <s v="Pune"/>
  </r>
  <r>
    <x v="179"/>
    <s v="INV-2307-180"/>
    <n v="123456968"/>
    <s v="ED-IND-KI63V-50"/>
    <x v="0"/>
    <n v="953"/>
    <n v="23"/>
    <n v="21919"/>
    <n v="123456789"/>
    <s v="Mumbai"/>
  </r>
  <r>
    <x v="180"/>
    <s v="INV-2307-181"/>
    <n v="123456969"/>
    <s v="PC-IND-ZM37R-60"/>
    <x v="1"/>
    <n v="961"/>
    <n v="27"/>
    <n v="25947"/>
    <n v="123456789"/>
    <s v="Pune"/>
  </r>
  <r>
    <x v="181"/>
    <s v="INV-2307-182"/>
    <n v="123456970"/>
    <s v="ED-IND-XO41R-64"/>
    <x v="0"/>
    <n v="641"/>
    <n v="26"/>
    <n v="16666"/>
    <n v="123456789"/>
    <s v="Pune"/>
  </r>
  <r>
    <x v="182"/>
    <s v="INV-2307-183"/>
    <n v="123456971"/>
    <s v="ED-IND-BH42D-63"/>
    <x v="0"/>
    <n v="586"/>
    <n v="25"/>
    <n v="14650"/>
    <n v="123456789"/>
    <s v="Pune"/>
  </r>
  <r>
    <x v="183"/>
    <s v="INV-2307-184"/>
    <n v="123456972"/>
    <s v="PC-IND-KA17E-84"/>
    <x v="1"/>
    <n v="937"/>
    <n v="25"/>
    <n v="23425"/>
    <n v="123456789"/>
    <s v="Pune"/>
  </r>
  <r>
    <x v="184"/>
    <s v="INV-2307-185"/>
    <n v="123456973"/>
    <s v="ED-IND-TT97R-70"/>
    <x v="0"/>
    <n v="676"/>
    <n v="22"/>
    <n v="14872"/>
    <n v="123456789"/>
    <s v="Pune"/>
  </r>
  <r>
    <x v="185"/>
    <s v="INV-2307-186"/>
    <n v="123456974"/>
    <s v="ED-IND-VF46R-52"/>
    <x v="0"/>
    <n v="824"/>
    <n v="31"/>
    <n v="25544"/>
    <n v="123456789"/>
    <s v="Mumbai"/>
  </r>
  <r>
    <x v="186"/>
    <s v="INV-2307-187"/>
    <n v="123456975"/>
    <s v="PC-IND-IL17H-44"/>
    <x v="1"/>
    <n v="867"/>
    <n v="24"/>
    <n v="20808"/>
    <n v="123456789"/>
    <s v="Mumbai"/>
  </r>
  <r>
    <x v="187"/>
    <s v="INV-2307-188"/>
    <n v="123456976"/>
    <s v="ED-IND-LC19X-47"/>
    <x v="0"/>
    <n v="505"/>
    <n v="29"/>
    <n v="14645"/>
    <n v="123456789"/>
    <s v="Pune"/>
  </r>
  <r>
    <x v="188"/>
    <s v="INV-2307-189"/>
    <n v="123456977"/>
    <s v="PC-IND-MA24L-60"/>
    <x v="1"/>
    <n v="705"/>
    <n v="29"/>
    <n v="20445"/>
    <n v="123456789"/>
    <s v="Mumbai"/>
  </r>
  <r>
    <x v="189"/>
    <s v="INV-2307-190"/>
    <n v="123456978"/>
    <s v="PC-IND-SI33P-87"/>
    <x v="1"/>
    <n v="543"/>
    <n v="21"/>
    <n v="11403"/>
    <n v="123456789"/>
    <s v="Pune"/>
  </r>
  <r>
    <x v="190"/>
    <s v="INV-2307-191"/>
    <n v="123456979"/>
    <s v="ED-IND-BO38Z-49"/>
    <x v="0"/>
    <n v="784"/>
    <n v="28"/>
    <n v="21952"/>
    <n v="123456789"/>
    <s v="Pune"/>
  </r>
  <r>
    <x v="191"/>
    <s v="INV-2307-192"/>
    <n v="123456980"/>
    <s v="ED-IND-QB49W-20"/>
    <x v="0"/>
    <n v="712"/>
    <n v="31"/>
    <n v="22072"/>
    <n v="123456789"/>
    <s v="Pune"/>
  </r>
  <r>
    <x v="192"/>
    <s v="INV-2307-193"/>
    <n v="123456981"/>
    <s v="ED-IND-BK63G-08"/>
    <x v="0"/>
    <n v="635"/>
    <n v="21"/>
    <n v="13335"/>
    <n v="123456789"/>
    <s v="Pune"/>
  </r>
  <r>
    <x v="193"/>
    <s v="INV-2307-194"/>
    <n v="123456982"/>
    <s v="ED-IND-TY46N-28"/>
    <x v="0"/>
    <n v="510"/>
    <n v="31"/>
    <n v="15810"/>
    <n v="123456789"/>
    <s v="Pune"/>
  </r>
  <r>
    <x v="194"/>
    <s v="INV-2307-195"/>
    <n v="123456983"/>
    <s v="ED-IND-RA31A-95"/>
    <x v="0"/>
    <n v="664"/>
    <n v="27"/>
    <n v="17928"/>
    <n v="123456789"/>
    <s v="Pune"/>
  </r>
  <r>
    <x v="195"/>
    <s v="INV-2307-196"/>
    <n v="123456984"/>
    <s v="PC-IND-GV11T-76"/>
    <x v="1"/>
    <n v="882"/>
    <n v="21"/>
    <n v="18522"/>
    <n v="123456789"/>
    <s v="Pune"/>
  </r>
  <r>
    <x v="196"/>
    <s v="INV-2307-197"/>
    <n v="123456985"/>
    <s v="ED-IND-VN77J-66"/>
    <x v="0"/>
    <n v="765"/>
    <n v="21"/>
    <n v="16065"/>
    <n v="123456789"/>
    <s v="Pune"/>
  </r>
  <r>
    <x v="197"/>
    <s v="INV-2307-198"/>
    <n v="123456986"/>
    <s v="ED-IND-YI53X-23"/>
    <x v="0"/>
    <n v="915"/>
    <n v="28"/>
    <n v="25620"/>
    <n v="123456789"/>
    <s v="Pune"/>
  </r>
  <r>
    <x v="198"/>
    <s v="INV-2307-199"/>
    <n v="123456987"/>
    <s v="PC-IND-IB86M-15"/>
    <x v="1"/>
    <n v="705"/>
    <n v="31"/>
    <n v="21855"/>
    <n v="123456789"/>
    <s v="Mumbai"/>
  </r>
  <r>
    <x v="199"/>
    <s v="INV-2307-200"/>
    <n v="123456988"/>
    <s v="PC-IND-LT34F-30"/>
    <x v="1"/>
    <n v="877"/>
    <n v="21"/>
    <n v="18417"/>
    <n v="123456789"/>
    <s v="Pune"/>
  </r>
  <r>
    <x v="200"/>
    <s v="INV-2307-201"/>
    <n v="123456989"/>
    <s v="ED-IND-QP54P-23"/>
    <x v="0"/>
    <n v="642"/>
    <n v="26"/>
    <n v="16692"/>
    <n v="123456789"/>
    <s v="Pune"/>
  </r>
  <r>
    <x v="201"/>
    <s v="INV-2307-202"/>
    <n v="123456990"/>
    <s v="ED-IND-GL26J-02"/>
    <x v="0"/>
    <n v="632"/>
    <n v="21"/>
    <n v="13272"/>
    <n v="123456789"/>
    <s v="Pune"/>
  </r>
  <r>
    <x v="202"/>
    <s v="INV-2307-203"/>
    <n v="123456991"/>
    <s v="ED-IND-II82H-02"/>
    <x v="0"/>
    <n v="529"/>
    <n v="30"/>
    <n v="15870"/>
    <n v="123456789"/>
    <s v="Pune"/>
  </r>
  <r>
    <x v="203"/>
    <s v="INV-2307-204"/>
    <n v="123456992"/>
    <s v="ED-IND-OK83P-96"/>
    <x v="0"/>
    <n v="888"/>
    <n v="23"/>
    <n v="20424"/>
    <n v="123456789"/>
    <s v="Pune"/>
  </r>
  <r>
    <x v="204"/>
    <s v="INV-2307-205"/>
    <n v="123456993"/>
    <s v="ED-IND-QA83P-49"/>
    <x v="0"/>
    <n v="901"/>
    <n v="28"/>
    <n v="25228"/>
    <n v="123456789"/>
    <s v="Mumbai"/>
  </r>
  <r>
    <x v="205"/>
    <s v="INV-2307-206"/>
    <n v="123456994"/>
    <s v="PC-IND-IS90G-67"/>
    <x v="1"/>
    <n v="728"/>
    <n v="23"/>
    <n v="16744"/>
    <n v="123456789"/>
    <s v="Pune"/>
  </r>
  <r>
    <x v="206"/>
    <s v="INV-2307-207"/>
    <n v="123456995"/>
    <s v="PC-IND-YF92L-53"/>
    <x v="1"/>
    <n v="679"/>
    <n v="26"/>
    <n v="17654"/>
    <n v="123456789"/>
    <s v="Mumbai"/>
  </r>
  <r>
    <x v="207"/>
    <s v="INV-2307-208"/>
    <n v="123456996"/>
    <s v="ED-IND-EB30X-70"/>
    <x v="0"/>
    <n v="743"/>
    <n v="29"/>
    <n v="21547"/>
    <n v="123456789"/>
    <s v="Pune"/>
  </r>
  <r>
    <x v="208"/>
    <s v="INV-2307-209"/>
    <n v="123456997"/>
    <s v="ED-IND-XY85B-17"/>
    <x v="0"/>
    <n v="907"/>
    <n v="24"/>
    <n v="21768"/>
    <n v="123456789"/>
    <s v="Pune"/>
  </r>
  <r>
    <x v="209"/>
    <s v="INV-2308-210"/>
    <n v="123456998"/>
    <s v="ED-IND-KK62A-63"/>
    <x v="0"/>
    <n v="714"/>
    <n v="27"/>
    <n v="19278"/>
    <n v="123456789"/>
    <s v="Pune"/>
  </r>
  <r>
    <x v="210"/>
    <s v="INV-2308-211"/>
    <n v="123456999"/>
    <s v="PC-IND-SX24U-14"/>
    <x v="1"/>
    <n v="983"/>
    <n v="24"/>
    <n v="23592"/>
    <n v="123456789"/>
    <s v="Pune"/>
  </r>
  <r>
    <x v="211"/>
    <s v="INV-2308-212"/>
    <n v="123457000"/>
    <s v="ED-IND-VO14D-02"/>
    <x v="0"/>
    <n v="569"/>
    <n v="29"/>
    <n v="16501"/>
    <n v="123456789"/>
    <s v="Mumbai"/>
  </r>
  <r>
    <x v="212"/>
    <s v="INV-2308-213"/>
    <n v="123457001"/>
    <s v="ED-IND-WO12H-98"/>
    <x v="0"/>
    <n v="860"/>
    <n v="31"/>
    <n v="26660"/>
    <n v="123456789"/>
    <s v="Mumbai"/>
  </r>
  <r>
    <x v="213"/>
    <s v="INV-2308-214"/>
    <n v="123457002"/>
    <s v="ED-IND-WV90C-43"/>
    <x v="0"/>
    <n v="609"/>
    <n v="30"/>
    <n v="18270"/>
    <n v="123456789"/>
    <s v="Pune"/>
  </r>
  <r>
    <x v="214"/>
    <s v="INV-2308-215"/>
    <n v="123457003"/>
    <s v="ED-IND-ZL12A-22"/>
    <x v="0"/>
    <n v="718"/>
    <n v="26"/>
    <n v="18668"/>
    <n v="123456789"/>
    <s v="Pune"/>
  </r>
  <r>
    <x v="215"/>
    <s v="INV-2308-216"/>
    <n v="123457004"/>
    <s v="PC-IND-XJ83X-20"/>
    <x v="1"/>
    <n v="694"/>
    <n v="27"/>
    <n v="18738"/>
    <n v="123456789"/>
    <s v="Pune"/>
  </r>
  <r>
    <x v="216"/>
    <s v="INV-2308-217"/>
    <n v="123457005"/>
    <s v="ED-IND-XT19E-29"/>
    <x v="0"/>
    <n v="555"/>
    <n v="21"/>
    <n v="11655"/>
    <n v="123456789"/>
    <s v="Pune"/>
  </r>
  <r>
    <x v="217"/>
    <s v="INV-2308-218"/>
    <n v="123457006"/>
    <s v="ED-IND-KG12I-57"/>
    <x v="0"/>
    <n v="531"/>
    <n v="28"/>
    <n v="14868"/>
    <n v="123456789"/>
    <s v="Pune"/>
  </r>
  <r>
    <x v="218"/>
    <s v="INV-2308-219"/>
    <n v="123457007"/>
    <s v="ED-IND-VE40T-58"/>
    <x v="0"/>
    <n v="534"/>
    <n v="22"/>
    <n v="11748"/>
    <n v="123456789"/>
    <s v="Mumbai"/>
  </r>
  <r>
    <x v="219"/>
    <s v="INV-2308-220"/>
    <n v="123457008"/>
    <s v="ED-IND-RW81D-76"/>
    <x v="0"/>
    <n v="576"/>
    <n v="22"/>
    <n v="12672"/>
    <n v="123456789"/>
    <s v="Pune"/>
  </r>
  <r>
    <x v="220"/>
    <s v="INV-2308-221"/>
    <n v="123457009"/>
    <s v="ED-IND-ZN38Z-01"/>
    <x v="0"/>
    <n v="690"/>
    <n v="25"/>
    <n v="17250"/>
    <n v="123456789"/>
    <s v="Pune"/>
  </r>
  <r>
    <x v="221"/>
    <s v="INV-2308-222"/>
    <n v="123457010"/>
    <s v="ED-IND-BT28W-35"/>
    <x v="0"/>
    <n v="511"/>
    <n v="23"/>
    <n v="11753"/>
    <n v="123456789"/>
    <s v="Pune"/>
  </r>
  <r>
    <x v="222"/>
    <s v="INV-2308-223"/>
    <n v="123457011"/>
    <s v="PC-IND-ON44Z-20"/>
    <x v="1"/>
    <n v="616"/>
    <n v="29"/>
    <n v="17864"/>
    <n v="123456789"/>
    <s v="Mumbai"/>
  </r>
  <r>
    <x v="223"/>
    <s v="INV-2308-224"/>
    <n v="123457012"/>
    <s v="ED-IND-OF48R-98"/>
    <x v="0"/>
    <n v="507"/>
    <n v="26"/>
    <n v="13182"/>
    <n v="123456789"/>
    <s v="Mumbai"/>
  </r>
  <r>
    <x v="224"/>
    <s v="INV-2308-225"/>
    <n v="123457013"/>
    <s v="ED-IND-HW89F-44"/>
    <x v="0"/>
    <n v="991"/>
    <n v="23"/>
    <n v="22793"/>
    <n v="123456789"/>
    <s v="Pune"/>
  </r>
  <r>
    <x v="225"/>
    <s v="INV-2308-226"/>
    <n v="123457014"/>
    <s v="ED-IND-ZU10S-06"/>
    <x v="0"/>
    <n v="646"/>
    <n v="30"/>
    <n v="19380"/>
    <n v="123456789"/>
    <s v="Pune"/>
  </r>
  <r>
    <x v="226"/>
    <s v="INV-2308-227"/>
    <n v="123457015"/>
    <s v="ED-IND-GN77F-40"/>
    <x v="0"/>
    <n v="889"/>
    <n v="21"/>
    <n v="18669"/>
    <n v="123456789"/>
    <s v="Pune"/>
  </r>
  <r>
    <x v="227"/>
    <s v="INV-2308-228"/>
    <n v="123457016"/>
    <s v="ED-IND-TD97U-39"/>
    <x v="0"/>
    <n v="572"/>
    <n v="23"/>
    <n v="13156"/>
    <n v="123456789"/>
    <s v="Pune"/>
  </r>
  <r>
    <x v="228"/>
    <s v="INV-2308-229"/>
    <n v="123457017"/>
    <s v="ED-IND-XD69N-70"/>
    <x v="0"/>
    <n v="862"/>
    <n v="21"/>
    <n v="18102"/>
    <n v="123456789"/>
    <s v="Pune"/>
  </r>
  <r>
    <x v="229"/>
    <s v="INV-2308-230"/>
    <n v="123457018"/>
    <s v="ED-IND-JG54J-82"/>
    <x v="0"/>
    <n v="507"/>
    <n v="31"/>
    <n v="15717"/>
    <n v="123456789"/>
    <s v="Mumbai"/>
  </r>
  <r>
    <x v="230"/>
    <s v="INV-2308-231"/>
    <n v="123457019"/>
    <s v="ED-IND-ND36N-96"/>
    <x v="0"/>
    <n v="853"/>
    <n v="26"/>
    <n v="22178"/>
    <n v="123456789"/>
    <s v="Pune"/>
  </r>
  <r>
    <x v="231"/>
    <s v="INV-2308-232"/>
    <n v="123457020"/>
    <s v="ED-IND-UC74O-23"/>
    <x v="0"/>
    <n v="743"/>
    <n v="25"/>
    <n v="18575"/>
    <n v="123456789"/>
    <s v="Pune"/>
  </r>
  <r>
    <x v="232"/>
    <s v="INV-2308-233"/>
    <n v="123457021"/>
    <s v="ED-IND-FO35X-06"/>
    <x v="0"/>
    <n v="701"/>
    <n v="22"/>
    <n v="15422"/>
    <n v="123456789"/>
    <s v="Pune"/>
  </r>
  <r>
    <x v="233"/>
    <s v="INV-2308-234"/>
    <n v="123457022"/>
    <s v="ED-IND-XV60W-87"/>
    <x v="0"/>
    <n v="970"/>
    <n v="26"/>
    <n v="25220"/>
    <n v="123456789"/>
    <s v="Pune"/>
  </r>
  <r>
    <x v="234"/>
    <s v="INV-2308-235"/>
    <n v="123457023"/>
    <s v="ED-IND-FM90Y-16"/>
    <x v="0"/>
    <n v="575"/>
    <n v="28"/>
    <n v="16100"/>
    <n v="123456789"/>
    <s v="Pune"/>
  </r>
  <r>
    <x v="235"/>
    <s v="INV-2308-236"/>
    <n v="123457024"/>
    <s v="ED-IND-JQ42J-50"/>
    <x v="0"/>
    <n v="835"/>
    <n v="23"/>
    <n v="19205"/>
    <n v="123456789"/>
    <s v="Pune"/>
  </r>
  <r>
    <x v="236"/>
    <s v="INV-2308-237"/>
    <n v="123457025"/>
    <s v="ED-IND-DZ46J-31"/>
    <x v="0"/>
    <n v="712"/>
    <n v="31"/>
    <n v="22072"/>
    <n v="123456789"/>
    <s v="Pune"/>
  </r>
  <r>
    <x v="237"/>
    <s v="INV-2308-238"/>
    <n v="123457026"/>
    <s v="ED-IND-TQ72U-99"/>
    <x v="0"/>
    <n v="784"/>
    <n v="31"/>
    <n v="24304"/>
    <n v="123456789"/>
    <s v="Pune"/>
  </r>
  <r>
    <x v="238"/>
    <s v="INV-2308-239"/>
    <n v="123457027"/>
    <s v="PC-IND-ZT79Y-03"/>
    <x v="1"/>
    <n v="940"/>
    <n v="26"/>
    <n v="24440"/>
    <n v="123456789"/>
    <s v="Mumbai"/>
  </r>
  <r>
    <x v="239"/>
    <s v="INV-2308-240"/>
    <n v="123457028"/>
    <s v="ED-IND-AT97L-47"/>
    <x v="0"/>
    <n v="829"/>
    <n v="26"/>
    <n v="21554"/>
    <n v="123456789"/>
    <s v="Pune"/>
  </r>
  <r>
    <x v="240"/>
    <s v="INV-2309-241"/>
    <n v="123457029"/>
    <s v="ED-IND-PC13L-22"/>
    <x v="0"/>
    <n v="438"/>
    <n v="21"/>
    <n v="9198"/>
    <n v="123456789"/>
    <s v="Mumbai"/>
  </r>
  <r>
    <x v="241"/>
    <s v="INV-2309-242"/>
    <n v="123457030"/>
    <s v="ED-IND-KL69J-45"/>
    <x v="0"/>
    <n v="468"/>
    <n v="25"/>
    <n v="11700"/>
    <n v="123456789"/>
    <s v="Pune"/>
  </r>
  <r>
    <x v="242"/>
    <s v="INV-2309-243"/>
    <n v="123457031"/>
    <s v="PC-IND-AD18N-05"/>
    <x v="1"/>
    <n v="323"/>
    <n v="28"/>
    <n v="9044"/>
    <n v="123456789"/>
    <s v="Pune"/>
  </r>
  <r>
    <x v="243"/>
    <s v="INV-2309-244"/>
    <n v="123457032"/>
    <s v="PC-IND-QB21C-21"/>
    <x v="1"/>
    <n v="439"/>
    <n v="27"/>
    <n v="11853"/>
    <n v="123456789"/>
    <s v="Pune"/>
  </r>
  <r>
    <x v="244"/>
    <s v="INV-2309-245"/>
    <n v="123457033"/>
    <s v="ED-IND-KL45I-89"/>
    <x v="0"/>
    <n v="349"/>
    <n v="27"/>
    <n v="9423"/>
    <n v="123456789"/>
    <s v="Pune"/>
  </r>
  <r>
    <x v="245"/>
    <s v="INV-2309-246"/>
    <n v="123457034"/>
    <s v="ED-IND-OP33V-15"/>
    <x v="0"/>
    <n v="268"/>
    <n v="21"/>
    <n v="5628"/>
    <n v="123456789"/>
    <s v="Pune"/>
  </r>
  <r>
    <x v="246"/>
    <s v="INV-2309-247"/>
    <n v="123457035"/>
    <s v="PC-IND-QG82K-57"/>
    <x v="1"/>
    <n v="437"/>
    <n v="29"/>
    <n v="12673"/>
    <n v="123456789"/>
    <s v="Mumbai"/>
  </r>
  <r>
    <x v="247"/>
    <s v="INV-2309-248"/>
    <n v="123457036"/>
    <s v="ED-IND-FC50T-31"/>
    <x v="0"/>
    <n v="403"/>
    <n v="29"/>
    <n v="11687"/>
    <n v="123456789"/>
    <s v="Pune"/>
  </r>
  <r>
    <x v="248"/>
    <s v="INV-2309-249"/>
    <n v="123457037"/>
    <s v="ED-IND-JJ75G-76"/>
    <x v="0"/>
    <n v="283"/>
    <n v="24"/>
    <n v="6792"/>
    <n v="123456789"/>
    <s v="Mumbai"/>
  </r>
  <r>
    <x v="249"/>
    <s v="INV-2309-250"/>
    <n v="123457038"/>
    <s v="ED-IND-PZ78T-53"/>
    <x v="0"/>
    <n v="396"/>
    <n v="28"/>
    <n v="11088"/>
    <n v="123456789"/>
    <s v="Pune"/>
  </r>
  <r>
    <x v="250"/>
    <s v="INV-2309-251"/>
    <n v="123457039"/>
    <s v="ED-IND-VW20N-30"/>
    <x v="0"/>
    <n v="333"/>
    <n v="27"/>
    <n v="8991"/>
    <n v="123456789"/>
    <s v="Pune"/>
  </r>
  <r>
    <x v="251"/>
    <s v="INV-2309-252"/>
    <n v="123457040"/>
    <s v="ED-IND-ZM31I-59"/>
    <x v="0"/>
    <n v="349"/>
    <n v="29"/>
    <n v="10121"/>
    <n v="123456789"/>
    <s v="Pune"/>
  </r>
  <r>
    <x v="252"/>
    <s v="INV-2309-253"/>
    <n v="123457041"/>
    <s v="ED-IND-UA22X-74"/>
    <x v="0"/>
    <n v="291"/>
    <n v="30"/>
    <n v="8730"/>
    <n v="123456789"/>
    <s v="Pune"/>
  </r>
  <r>
    <x v="253"/>
    <s v="INV-2309-254"/>
    <n v="123457042"/>
    <s v="PC-IND-KY87L-07"/>
    <x v="1"/>
    <n v="446"/>
    <n v="29"/>
    <n v="12934"/>
    <n v="123456789"/>
    <s v="Pune"/>
  </r>
  <r>
    <x v="254"/>
    <s v="INV-2309-255"/>
    <n v="123457043"/>
    <s v="ED-IND-RM89D-52"/>
    <x v="0"/>
    <n v="344"/>
    <n v="28"/>
    <n v="9632"/>
    <n v="123456789"/>
    <s v="Mumbai"/>
  </r>
  <r>
    <x v="255"/>
    <s v="INV-2309-256"/>
    <n v="123457044"/>
    <s v="ED-IND-KH95O-32"/>
    <x v="0"/>
    <n v="335"/>
    <n v="31"/>
    <n v="10385"/>
    <n v="123456789"/>
    <s v="Pune"/>
  </r>
  <r>
    <x v="256"/>
    <s v="INV-2309-257"/>
    <n v="123457045"/>
    <s v="PC-IND-JD80O-86"/>
    <x v="1"/>
    <n v="436"/>
    <n v="22"/>
    <n v="9592"/>
    <n v="123456789"/>
    <s v="Pune"/>
  </r>
  <r>
    <x v="257"/>
    <s v="INV-2309-258"/>
    <n v="123457046"/>
    <s v="PC-IND-GO71A-01"/>
    <x v="1"/>
    <n v="321"/>
    <n v="31"/>
    <n v="9951"/>
    <n v="123456789"/>
    <s v="Mumbai"/>
  </r>
  <r>
    <x v="258"/>
    <s v="INV-2309-259"/>
    <n v="123457047"/>
    <s v="ED-IND-KE55U-98"/>
    <x v="0"/>
    <n v="507"/>
    <n v="21"/>
    <n v="10647"/>
    <n v="123456789"/>
    <s v="Mumbai"/>
  </r>
  <r>
    <x v="259"/>
    <s v="INV-2309-260"/>
    <n v="123457048"/>
    <s v="PC-IND-EO59B-07"/>
    <x v="1"/>
    <n v="364"/>
    <n v="30"/>
    <n v="10920"/>
    <n v="123456789"/>
    <s v="Pune"/>
  </r>
  <r>
    <x v="260"/>
    <s v="INV-2309-261"/>
    <n v="123457049"/>
    <s v="ED-IND-SE20G-38"/>
    <x v="0"/>
    <n v="418"/>
    <n v="29"/>
    <n v="12122"/>
    <n v="123456789"/>
    <s v="Pune"/>
  </r>
  <r>
    <x v="261"/>
    <s v="INV-2309-262"/>
    <n v="123457050"/>
    <s v="ED-IND-XX51X-37"/>
    <x v="0"/>
    <n v="288"/>
    <n v="25"/>
    <n v="7200"/>
    <n v="123456789"/>
    <s v="Pune"/>
  </r>
  <r>
    <x v="262"/>
    <s v="INV-2309-263"/>
    <n v="123457051"/>
    <s v="ED-IND-KH38D-10"/>
    <x v="0"/>
    <n v="412"/>
    <n v="21"/>
    <n v="8652"/>
    <n v="123456789"/>
    <s v="Pune"/>
  </r>
  <r>
    <x v="263"/>
    <s v="INV-2309-264"/>
    <n v="123457052"/>
    <s v="ED-IND-BW38A-23"/>
    <x v="0"/>
    <n v="346"/>
    <n v="21"/>
    <n v="7266"/>
    <n v="123456789"/>
    <s v="Mumbai"/>
  </r>
  <r>
    <x v="264"/>
    <s v="INV-2309-265"/>
    <n v="123457053"/>
    <s v="PC-IND-BH90B-07"/>
    <x v="1"/>
    <n v="273"/>
    <n v="21"/>
    <n v="5733"/>
    <n v="123456789"/>
    <s v="Pune"/>
  </r>
  <r>
    <x v="265"/>
    <s v="INV-2309-266"/>
    <n v="123457054"/>
    <s v="ED-IND-KC67S-50"/>
    <x v="0"/>
    <n v="472"/>
    <n v="25"/>
    <n v="11800"/>
    <n v="123456789"/>
    <s v="Pune"/>
  </r>
  <r>
    <x v="266"/>
    <s v="INV-2309-267"/>
    <n v="123457055"/>
    <s v="PC-IND-CF23H-34"/>
    <x v="1"/>
    <n v="304"/>
    <n v="21"/>
    <n v="6384"/>
    <n v="123456789"/>
    <s v="Mumbai"/>
  </r>
  <r>
    <x v="267"/>
    <s v="INV-2309-268"/>
    <n v="123457056"/>
    <s v="PC-IND-ZU91Z-29"/>
    <x v="1"/>
    <n v="472"/>
    <n v="22"/>
    <n v="10384"/>
    <n v="123456789"/>
    <s v="Pune"/>
  </r>
  <r>
    <x v="268"/>
    <s v="INV-2309-269"/>
    <n v="123457057"/>
    <s v="ED-IND-TX35U-55"/>
    <x v="0"/>
    <n v="327"/>
    <n v="24"/>
    <n v="7848"/>
    <n v="123456789"/>
    <s v="Pune"/>
  </r>
  <r>
    <x v="269"/>
    <s v="INV-2309-270"/>
    <n v="123457058"/>
    <s v="ED-IND-BU16I-11"/>
    <x v="0"/>
    <n v="339"/>
    <n v="27"/>
    <n v="9153"/>
    <n v="123456789"/>
    <s v="Pune"/>
  </r>
  <r>
    <x v="270"/>
    <s v="INV-2310-271"/>
    <n v="123457059"/>
    <s v="ED-IND-RH90N-16"/>
    <x v="0"/>
    <n v="476"/>
    <n v="27"/>
    <n v="12852"/>
    <n v="123456789"/>
    <s v="Pune"/>
  </r>
  <r>
    <x v="271"/>
    <s v="INV-2310-272"/>
    <n v="123457060"/>
    <s v="ED-IND-UY66U-75"/>
    <x v="0"/>
    <n v="428"/>
    <n v="29"/>
    <n v="12412"/>
    <n v="123456789"/>
    <s v="Pune"/>
  </r>
  <r>
    <x v="272"/>
    <s v="INV-2310-273"/>
    <n v="123457061"/>
    <s v="PC-IND-FK86J-42"/>
    <x v="1"/>
    <n v="299"/>
    <n v="31"/>
    <n v="9269"/>
    <n v="123456789"/>
    <s v="Pune"/>
  </r>
  <r>
    <x v="273"/>
    <s v="INV-2310-274"/>
    <n v="123457062"/>
    <s v="ED-IND-OE79N-66"/>
    <x v="0"/>
    <n v="351"/>
    <n v="31"/>
    <n v="10881"/>
    <n v="123456789"/>
    <s v="Pune"/>
  </r>
  <r>
    <x v="274"/>
    <s v="INV-2310-275"/>
    <n v="123457063"/>
    <s v="PC-IND-RK14B-33"/>
    <x v="1"/>
    <n v="491"/>
    <n v="27"/>
    <n v="13257"/>
    <n v="123456789"/>
    <s v="Mumbai"/>
  </r>
  <r>
    <x v="275"/>
    <s v="INV-2310-276"/>
    <n v="123457064"/>
    <s v="ED-IND-VV69R-22"/>
    <x v="0"/>
    <n v="320"/>
    <n v="22"/>
    <n v="7040"/>
    <n v="123456789"/>
    <s v="Mumbai"/>
  </r>
  <r>
    <x v="276"/>
    <s v="INV-2310-277"/>
    <n v="123457065"/>
    <s v="PC-IND-VL90Y-45"/>
    <x v="1"/>
    <n v="313"/>
    <n v="22"/>
    <n v="6886"/>
    <n v="123456789"/>
    <s v="Pune"/>
  </r>
  <r>
    <x v="277"/>
    <s v="INV-2310-278"/>
    <n v="123457066"/>
    <s v="ED-IND-KY84S-06"/>
    <x v="0"/>
    <n v="433"/>
    <n v="22"/>
    <n v="9526"/>
    <n v="123456789"/>
    <s v="Pune"/>
  </r>
  <r>
    <x v="278"/>
    <s v="INV-2310-279"/>
    <n v="123457067"/>
    <s v="ED-IND-WA87V-51"/>
    <x v="0"/>
    <n v="432"/>
    <n v="24"/>
    <n v="10368"/>
    <n v="123456789"/>
    <s v="Pune"/>
  </r>
  <r>
    <x v="279"/>
    <s v="INV-2310-280"/>
    <n v="123457068"/>
    <s v="ED-IND-HX55K-25"/>
    <x v="0"/>
    <n v="363"/>
    <n v="23"/>
    <n v="8349"/>
    <n v="123456789"/>
    <s v="Pune"/>
  </r>
  <r>
    <x v="280"/>
    <s v="INV-2310-281"/>
    <n v="123457069"/>
    <s v="ED-IND-LU13K-24"/>
    <x v="0"/>
    <n v="334"/>
    <n v="23"/>
    <n v="7682"/>
    <n v="123456789"/>
    <s v="Pune"/>
  </r>
  <r>
    <x v="281"/>
    <s v="INV-2310-282"/>
    <n v="123457070"/>
    <s v="ED-IND-ZR78S-06"/>
    <x v="0"/>
    <n v="292"/>
    <n v="31"/>
    <n v="9052"/>
    <n v="123456789"/>
    <s v="Mumbai"/>
  </r>
  <r>
    <x v="282"/>
    <s v="INV-2310-283"/>
    <n v="123457071"/>
    <s v="ED-IND-JX35V-88"/>
    <x v="0"/>
    <n v="476"/>
    <n v="25"/>
    <n v="11900"/>
    <n v="123456789"/>
    <s v="Pune"/>
  </r>
  <r>
    <x v="283"/>
    <s v="INV-2310-284"/>
    <n v="123457072"/>
    <s v="ED-IND-MP51S-65"/>
    <x v="0"/>
    <n v="473"/>
    <n v="28"/>
    <n v="13244"/>
    <n v="123456789"/>
    <s v="Pune"/>
  </r>
  <r>
    <x v="284"/>
    <s v="INV-2310-285"/>
    <n v="123457073"/>
    <s v="ED-IND-AX46Y-39"/>
    <x v="0"/>
    <n v="365"/>
    <n v="30"/>
    <n v="10950"/>
    <n v="123456789"/>
    <s v="Pune"/>
  </r>
  <r>
    <x v="285"/>
    <s v="INV-2310-286"/>
    <n v="123457074"/>
    <s v="ED-IND-GT43D-43"/>
    <x v="0"/>
    <n v="345"/>
    <n v="30"/>
    <n v="10350"/>
    <n v="123456789"/>
    <s v="Pune"/>
  </r>
  <r>
    <x v="286"/>
    <s v="INV-2310-287"/>
    <n v="123457075"/>
    <s v="ED-IND-DZ72O-24"/>
    <x v="0"/>
    <n v="502"/>
    <n v="24"/>
    <n v="12048"/>
    <n v="123456789"/>
    <s v="Mumbai"/>
  </r>
  <r>
    <x v="287"/>
    <s v="INV-2310-288"/>
    <n v="123457076"/>
    <s v="ED-IND-NC28A-22"/>
    <x v="0"/>
    <n v="254"/>
    <n v="24"/>
    <n v="6096"/>
    <n v="123456789"/>
    <s v="Mumbai"/>
  </r>
  <r>
    <x v="288"/>
    <s v="INV-2310-289"/>
    <n v="123457077"/>
    <s v="ED-IND-NU27W-41"/>
    <x v="0"/>
    <n v="308"/>
    <n v="23"/>
    <n v="7084"/>
    <n v="123456789"/>
    <s v="Pune"/>
  </r>
  <r>
    <x v="289"/>
    <s v="INV-2310-290"/>
    <n v="123457078"/>
    <s v="ED-IND-UP56R-45"/>
    <x v="0"/>
    <n v="471"/>
    <n v="26"/>
    <n v="12246"/>
    <n v="123456789"/>
    <s v="Pune"/>
  </r>
  <r>
    <x v="290"/>
    <s v="INV-2310-291"/>
    <n v="123457079"/>
    <s v="PC-IND-NT33B-90"/>
    <x v="1"/>
    <n v="255"/>
    <n v="24"/>
    <n v="6120"/>
    <n v="123456789"/>
    <s v="Pune"/>
  </r>
  <r>
    <x v="291"/>
    <s v="INV-2310-292"/>
    <n v="123457080"/>
    <s v="ED-IND-SJ64X-74"/>
    <x v="0"/>
    <n v="310"/>
    <n v="21"/>
    <n v="6510"/>
    <n v="123456789"/>
    <s v="Pune"/>
  </r>
  <r>
    <x v="292"/>
    <s v="INV-2310-293"/>
    <n v="123457081"/>
    <s v="ED-IND-GD34A-36"/>
    <x v="0"/>
    <n v="425"/>
    <n v="22"/>
    <n v="9350"/>
    <n v="123456789"/>
    <s v="Mumbai"/>
  </r>
  <r>
    <x v="293"/>
    <s v="INV-2310-294"/>
    <n v="123457082"/>
    <s v="ED-IND-ND37Z-68"/>
    <x v="0"/>
    <n v="509"/>
    <n v="29"/>
    <n v="14761"/>
    <n v="123456789"/>
    <s v="Mumbai"/>
  </r>
  <r>
    <x v="294"/>
    <s v="INV-2310-295"/>
    <n v="123457083"/>
    <s v="PC-IND-QA81U-76"/>
    <x v="1"/>
    <n v="474"/>
    <n v="31"/>
    <n v="14694"/>
    <n v="123456789"/>
    <s v="Pune"/>
  </r>
  <r>
    <x v="295"/>
    <s v="INV-2310-296"/>
    <n v="123457084"/>
    <s v="ED-IND-LJ75L-66"/>
    <x v="0"/>
    <n v="498"/>
    <n v="26"/>
    <n v="12948"/>
    <n v="123456789"/>
    <s v="Mumbai"/>
  </r>
  <r>
    <x v="296"/>
    <s v="INV-2310-297"/>
    <n v="123457085"/>
    <s v="ED-IND-XR32Q-32"/>
    <x v="0"/>
    <n v="266"/>
    <n v="31"/>
    <n v="8246"/>
    <n v="123456789"/>
    <s v="Mumbai"/>
  </r>
  <r>
    <x v="297"/>
    <s v="INV-2310-298"/>
    <n v="123457086"/>
    <s v="ED-IND-SX40U-51"/>
    <x v="0"/>
    <n v="420"/>
    <n v="26"/>
    <n v="10920"/>
    <n v="123456789"/>
    <s v="Pune"/>
  </r>
  <r>
    <x v="298"/>
    <s v="INV-2310-299"/>
    <n v="123457087"/>
    <s v="ED-IND-CY37U-91"/>
    <x v="0"/>
    <n v="252"/>
    <n v="30"/>
    <n v="7560"/>
    <n v="123456789"/>
    <s v="Mumbai"/>
  </r>
  <r>
    <x v="299"/>
    <s v="INV-2310-300"/>
    <n v="123457088"/>
    <s v="ED-IND-YX37B-03"/>
    <x v="0"/>
    <n v="342"/>
    <n v="22"/>
    <n v="7524"/>
    <n v="123456789"/>
    <s v="Mumbai"/>
  </r>
  <r>
    <x v="300"/>
    <s v="INV-2310-301"/>
    <n v="123457089"/>
    <s v="PC-IND-ME94U-22"/>
    <x v="1"/>
    <n v="283"/>
    <n v="29"/>
    <n v="8207"/>
    <n v="123456789"/>
    <s v="Pune"/>
  </r>
  <r>
    <x v="301"/>
    <s v="INV-2311-302"/>
    <n v="123457090"/>
    <s v="ED-IND-UE12D-32"/>
    <x v="0"/>
    <n v="277"/>
    <n v="31"/>
    <n v="8587"/>
    <n v="123456789"/>
    <s v="Pune"/>
  </r>
  <r>
    <x v="302"/>
    <s v="INV-2311-303"/>
    <n v="123457091"/>
    <s v="ED-IND-MZ10L-61"/>
    <x v="0"/>
    <n v="210"/>
    <n v="21"/>
    <n v="4410"/>
    <n v="123456789"/>
    <s v="Pune"/>
  </r>
  <r>
    <x v="303"/>
    <s v="INV-2311-304"/>
    <n v="123457092"/>
    <s v="ED-IND-TX78C-81"/>
    <x v="0"/>
    <n v="259"/>
    <n v="25"/>
    <n v="6475"/>
    <n v="123456789"/>
    <s v="Pune"/>
  </r>
  <r>
    <x v="304"/>
    <s v="INV-2311-305"/>
    <n v="123457093"/>
    <s v="PC-IND-ZG78T-96"/>
    <x v="1"/>
    <n v="222"/>
    <n v="26"/>
    <n v="5772"/>
    <n v="123456789"/>
    <s v="Mumbai"/>
  </r>
  <r>
    <x v="305"/>
    <s v="INV-2311-306"/>
    <n v="123457094"/>
    <s v="ED-IND-PE20T-40"/>
    <x v="0"/>
    <n v="270"/>
    <n v="22"/>
    <n v="5940"/>
    <n v="123456789"/>
    <s v="Pune"/>
  </r>
  <r>
    <x v="306"/>
    <s v="INV-2311-307"/>
    <n v="123457095"/>
    <s v="ED-IND-QK15A-62"/>
    <x v="0"/>
    <n v="277"/>
    <n v="26"/>
    <n v="7202"/>
    <n v="123456789"/>
    <s v="Pune"/>
  </r>
  <r>
    <x v="307"/>
    <s v="INV-2311-308"/>
    <n v="123457096"/>
    <s v="ED-IND-DA63I-93"/>
    <x v="0"/>
    <n v="287"/>
    <n v="24"/>
    <n v="6888"/>
    <n v="123456789"/>
    <s v="Pune"/>
  </r>
  <r>
    <x v="308"/>
    <s v="INV-2311-309"/>
    <n v="123457097"/>
    <s v="ED-IND-VJ60Y-47"/>
    <x v="0"/>
    <n v="218"/>
    <n v="25"/>
    <n v="5450"/>
    <n v="123456789"/>
    <s v="Pune"/>
  </r>
  <r>
    <x v="309"/>
    <s v="INV-2311-310"/>
    <n v="123457098"/>
    <s v="PC-IND-PD19T-75"/>
    <x v="1"/>
    <n v="286"/>
    <n v="29"/>
    <n v="8294"/>
    <n v="123456789"/>
    <s v="Pune"/>
  </r>
  <r>
    <x v="310"/>
    <s v="INV-2311-311"/>
    <n v="123457099"/>
    <s v="ED-IND-QS47A-83"/>
    <x v="0"/>
    <n v="209"/>
    <n v="27"/>
    <n v="5643"/>
    <n v="123456789"/>
    <s v="Mumbai"/>
  </r>
  <r>
    <x v="311"/>
    <s v="INV-2311-312"/>
    <n v="123457100"/>
    <s v="ED-IND-EI29N-19"/>
    <x v="0"/>
    <n v="203"/>
    <n v="27"/>
    <n v="5481"/>
    <n v="123456789"/>
    <s v="Pune"/>
  </r>
  <r>
    <x v="312"/>
    <s v="INV-2311-313"/>
    <n v="123457101"/>
    <s v="PC-IND-TG24Q-94"/>
    <x v="1"/>
    <n v="266"/>
    <n v="22"/>
    <n v="5852"/>
    <n v="123456789"/>
    <s v="Pune"/>
  </r>
  <r>
    <x v="313"/>
    <s v="INV-2311-314"/>
    <n v="123457102"/>
    <s v="ED-IND-TO91Y-18"/>
    <x v="0"/>
    <n v="286"/>
    <n v="28"/>
    <n v="8008"/>
    <n v="123456789"/>
    <s v="Mumbai"/>
  </r>
  <r>
    <x v="314"/>
    <s v="INV-2311-315"/>
    <n v="123457103"/>
    <s v="ED-IND-SM51J-71"/>
    <x v="0"/>
    <n v="202"/>
    <n v="25"/>
    <n v="5050"/>
    <n v="123456789"/>
    <s v="Pune"/>
  </r>
  <r>
    <x v="315"/>
    <s v="INV-2311-316"/>
    <n v="123457104"/>
    <s v="ED-IND-ZE73R-51"/>
    <x v="0"/>
    <n v="268"/>
    <n v="24"/>
    <n v="6432"/>
    <n v="123456789"/>
    <s v="Mumbai"/>
  </r>
  <r>
    <x v="316"/>
    <s v="INV-2311-317"/>
    <n v="123457105"/>
    <s v="ED-IND-YE60H-83"/>
    <x v="0"/>
    <n v="247"/>
    <n v="30"/>
    <n v="7410"/>
    <n v="123456789"/>
    <s v="Pune"/>
  </r>
  <r>
    <x v="317"/>
    <s v="INV-2311-318"/>
    <n v="123457106"/>
    <s v="ED-IND-VX39R-58"/>
    <x v="0"/>
    <n v="233"/>
    <n v="24"/>
    <n v="5592"/>
    <n v="123456789"/>
    <s v="Pune"/>
  </r>
  <r>
    <x v="318"/>
    <s v="INV-2311-319"/>
    <n v="123457107"/>
    <s v="ED-IND-EZ85Y-94"/>
    <x v="0"/>
    <n v="284"/>
    <n v="24"/>
    <n v="6816"/>
    <n v="123456789"/>
    <s v="Mumbai"/>
  </r>
  <r>
    <x v="319"/>
    <s v="INV-2311-320"/>
    <n v="123457108"/>
    <s v="PC-IND-WJ78F-41"/>
    <x v="1"/>
    <n v="210"/>
    <n v="30"/>
    <n v="6300"/>
    <n v="123456789"/>
    <s v="Pune"/>
  </r>
  <r>
    <x v="320"/>
    <s v="INV-2311-321"/>
    <n v="123457109"/>
    <s v="ED-IND-XP12V-70"/>
    <x v="0"/>
    <n v="262"/>
    <n v="26"/>
    <n v="6812"/>
    <n v="123456789"/>
    <s v="Pune"/>
  </r>
  <r>
    <x v="321"/>
    <s v="INV-2311-322"/>
    <n v="123457110"/>
    <s v="ED-IND-EB78U-19"/>
    <x v="0"/>
    <n v="268"/>
    <n v="21"/>
    <n v="5628"/>
    <n v="123456789"/>
    <s v="Mumbai"/>
  </r>
  <r>
    <x v="322"/>
    <s v="INV-2311-323"/>
    <n v="123457111"/>
    <s v="ED-IND-VV85G-79"/>
    <x v="0"/>
    <n v="286"/>
    <n v="29"/>
    <n v="8294"/>
    <n v="123456789"/>
    <s v="Pune"/>
  </r>
  <r>
    <x v="323"/>
    <s v="INV-2311-324"/>
    <n v="123457112"/>
    <s v="ED-IND-DS24U-53"/>
    <x v="0"/>
    <n v="233"/>
    <n v="30"/>
    <n v="6990"/>
    <n v="123456789"/>
    <s v="Pune"/>
  </r>
  <r>
    <x v="324"/>
    <s v="INV-2311-325"/>
    <n v="123457113"/>
    <s v="ED-IND-VC82D-70"/>
    <x v="0"/>
    <n v="288"/>
    <n v="25"/>
    <n v="7200"/>
    <n v="123456789"/>
    <s v="Pune"/>
  </r>
  <r>
    <x v="325"/>
    <s v="INV-2311-326"/>
    <n v="123457114"/>
    <s v="ED-IND-GU99X-17"/>
    <x v="0"/>
    <n v="221"/>
    <n v="30"/>
    <n v="6630"/>
    <n v="123456789"/>
    <s v="Pune"/>
  </r>
  <r>
    <x v="326"/>
    <s v="INV-2311-327"/>
    <n v="123457115"/>
    <s v="ED-IND-OQ13E-32"/>
    <x v="0"/>
    <n v="208"/>
    <n v="24"/>
    <n v="4992"/>
    <n v="123456789"/>
    <s v="Pune"/>
  </r>
  <r>
    <x v="327"/>
    <s v="INV-2311-328"/>
    <n v="123457116"/>
    <s v="PC-IND-TX59N-57"/>
    <x v="1"/>
    <n v="246"/>
    <n v="29"/>
    <n v="7134"/>
    <n v="123456789"/>
    <s v="Pune"/>
  </r>
  <r>
    <x v="328"/>
    <s v="INV-2311-329"/>
    <n v="123457117"/>
    <s v="PC-IND-BK34R-82"/>
    <x v="1"/>
    <n v="212"/>
    <n v="29"/>
    <n v="6148"/>
    <n v="123456789"/>
    <s v="Mumbai"/>
  </r>
  <r>
    <x v="329"/>
    <s v="INV-2311-330"/>
    <n v="123457118"/>
    <s v="ED-IND-DK54G-22"/>
    <x v="0"/>
    <n v="279"/>
    <n v="24"/>
    <n v="6696"/>
    <n v="123456789"/>
    <s v="Pune"/>
  </r>
  <r>
    <x v="330"/>
    <s v="INV-2311-331"/>
    <n v="123457119"/>
    <s v="PC-IND-ND54S-18"/>
    <x v="1"/>
    <n v="209"/>
    <n v="27"/>
    <n v="5643"/>
    <n v="123456789"/>
    <s v="Mumbai"/>
  </r>
  <r>
    <x v="331"/>
    <s v="INV-2312-332"/>
    <n v="123457120"/>
    <s v="ED-IND-KQ10A-94"/>
    <x v="0"/>
    <n v="216"/>
    <n v="30"/>
    <n v="6480"/>
    <n v="123456789"/>
    <s v="Pune"/>
  </r>
  <r>
    <x v="332"/>
    <s v="INV-2312-333"/>
    <n v="123457121"/>
    <s v="PC-IND-PE93W-55"/>
    <x v="1"/>
    <n v="286"/>
    <n v="29"/>
    <n v="8294"/>
    <n v="123456789"/>
    <s v="Pune"/>
  </r>
  <r>
    <x v="333"/>
    <s v="INV-2312-334"/>
    <n v="123457122"/>
    <s v="ED-IND-FP29A-07"/>
    <x v="0"/>
    <n v="261"/>
    <n v="25"/>
    <n v="6525"/>
    <n v="123456789"/>
    <s v="Pune"/>
  </r>
  <r>
    <x v="334"/>
    <s v="INV-2312-335"/>
    <n v="123457123"/>
    <s v="ED-IND-TE26U-42"/>
    <x v="0"/>
    <n v="237"/>
    <n v="29"/>
    <n v="6873"/>
    <n v="123456789"/>
    <s v="Mumbai"/>
  </r>
  <r>
    <x v="335"/>
    <s v="INV-2312-336"/>
    <n v="123457124"/>
    <s v="ED-IND-HV78W-96"/>
    <x v="0"/>
    <n v="253"/>
    <n v="31"/>
    <n v="7843"/>
    <n v="123456789"/>
    <s v="Mumbai"/>
  </r>
  <r>
    <x v="336"/>
    <s v="INV-2312-337"/>
    <n v="123457125"/>
    <s v="PC-IND-QE12W-52"/>
    <x v="1"/>
    <n v="251"/>
    <n v="26"/>
    <n v="6526"/>
    <n v="123456789"/>
    <s v="Pune"/>
  </r>
  <r>
    <x v="337"/>
    <s v="INV-2312-338"/>
    <n v="123457126"/>
    <s v="ED-IND-AS14F-42"/>
    <x v="0"/>
    <n v="258"/>
    <n v="24"/>
    <n v="6192"/>
    <n v="123456789"/>
    <s v="Mumbai"/>
  </r>
  <r>
    <x v="338"/>
    <s v="INV-2312-339"/>
    <n v="123457127"/>
    <s v="PC-IND-SQ22S-93"/>
    <x v="1"/>
    <n v="294"/>
    <n v="31"/>
    <n v="9114"/>
    <n v="123456789"/>
    <s v="Pune"/>
  </r>
  <r>
    <x v="339"/>
    <s v="INV-2312-340"/>
    <n v="123457128"/>
    <s v="ED-IND-GA92N-50"/>
    <x v="0"/>
    <n v="220"/>
    <n v="25"/>
    <n v="5500"/>
    <n v="123456789"/>
    <s v="Pune"/>
  </r>
  <r>
    <x v="340"/>
    <s v="INV-2312-341"/>
    <n v="123457129"/>
    <s v="ED-IND-OH84I-36"/>
    <x v="0"/>
    <n v="265"/>
    <n v="31"/>
    <n v="8215"/>
    <n v="123456789"/>
    <s v="Pune"/>
  </r>
  <r>
    <x v="341"/>
    <s v="INV-2312-342"/>
    <n v="123457130"/>
    <s v="ED-IND-QQ71B-22"/>
    <x v="0"/>
    <n v="203"/>
    <n v="28"/>
    <n v="5684"/>
    <n v="123456789"/>
    <s v="Pune"/>
  </r>
  <r>
    <x v="342"/>
    <s v="INV-2312-343"/>
    <n v="123457131"/>
    <s v="ED-IND-YO64C-37"/>
    <x v="0"/>
    <n v="207"/>
    <n v="24"/>
    <n v="4968"/>
    <n v="123456789"/>
    <s v="Pune"/>
  </r>
  <r>
    <x v="343"/>
    <s v="INV-2312-344"/>
    <n v="123457132"/>
    <s v="ED-IND-CS82V-04"/>
    <x v="0"/>
    <n v="299"/>
    <n v="23"/>
    <n v="6877"/>
    <n v="123456789"/>
    <s v="Pune"/>
  </r>
  <r>
    <x v="344"/>
    <s v="INV-2312-345"/>
    <n v="123457133"/>
    <s v="ED-IND-MQ45D-68"/>
    <x v="0"/>
    <n v="268"/>
    <n v="30"/>
    <n v="8040"/>
    <n v="123456789"/>
    <s v="Pune"/>
  </r>
  <r>
    <x v="345"/>
    <s v="INV-2312-346"/>
    <n v="123457134"/>
    <s v="ED-IND-SQ15N-67"/>
    <x v="0"/>
    <n v="223"/>
    <n v="25"/>
    <n v="5575"/>
    <n v="123456789"/>
    <s v="Mumbai"/>
  </r>
  <r>
    <x v="346"/>
    <s v="INV-2312-347"/>
    <n v="123457135"/>
    <s v="PC-IND-CS11U-81"/>
    <x v="1"/>
    <n v="269"/>
    <n v="26"/>
    <n v="6994"/>
    <n v="123456789"/>
    <s v="Pune"/>
  </r>
  <r>
    <x v="347"/>
    <s v="INV-2312-348"/>
    <n v="123457136"/>
    <s v="PC-IND-BL98D-55"/>
    <x v="1"/>
    <n v="253"/>
    <n v="30"/>
    <n v="7590"/>
    <n v="123456789"/>
    <s v="Pune"/>
  </r>
  <r>
    <x v="348"/>
    <s v="INV-2312-349"/>
    <n v="123457137"/>
    <s v="ED-IND-FU33N-93"/>
    <x v="0"/>
    <n v="206"/>
    <n v="22"/>
    <n v="4532"/>
    <n v="123456789"/>
    <s v="Mumbai"/>
  </r>
  <r>
    <x v="349"/>
    <s v="INV-2312-350"/>
    <n v="123457138"/>
    <s v="ED-IND-AA98Z-93"/>
    <x v="0"/>
    <n v="225"/>
    <n v="31"/>
    <n v="6975"/>
    <n v="123456789"/>
    <s v="Mumbai"/>
  </r>
  <r>
    <x v="350"/>
    <s v="INV-2312-351"/>
    <n v="123457139"/>
    <s v="ED-IND-NN91W-42"/>
    <x v="0"/>
    <n v="260"/>
    <n v="30"/>
    <n v="7800"/>
    <n v="123456789"/>
    <s v="Mumbai"/>
  </r>
  <r>
    <x v="351"/>
    <s v="INV-2312-352"/>
    <n v="123457140"/>
    <s v="ED-IND-XN78O-43"/>
    <x v="0"/>
    <n v="224"/>
    <n v="29"/>
    <n v="6496"/>
    <n v="123456789"/>
    <s v="Mumbai"/>
  </r>
  <r>
    <x v="352"/>
    <s v="INV-2312-353"/>
    <n v="123457141"/>
    <s v="PC-IND-GD43S-75"/>
    <x v="1"/>
    <n v="224"/>
    <n v="24"/>
    <n v="5376"/>
    <n v="123456789"/>
    <s v="Pune"/>
  </r>
  <r>
    <x v="353"/>
    <s v="INV-2312-354"/>
    <n v="123457142"/>
    <s v="ED-IND-RP87E-28"/>
    <x v="0"/>
    <n v="205"/>
    <n v="26"/>
    <n v="5330"/>
    <n v="123456789"/>
    <s v="Pune"/>
  </r>
  <r>
    <x v="354"/>
    <s v="INV-2312-355"/>
    <n v="123457143"/>
    <s v="ED-IND-VN51L-36"/>
    <x v="0"/>
    <n v="278"/>
    <n v="21"/>
    <n v="5838"/>
    <n v="123456789"/>
    <s v="Pune"/>
  </r>
  <r>
    <x v="355"/>
    <s v="INV-2312-356"/>
    <n v="123457144"/>
    <s v="PC-IND-HF17O-95"/>
    <x v="1"/>
    <n v="261"/>
    <n v="25"/>
    <n v="6525"/>
    <n v="123456789"/>
    <s v="Mumbai"/>
  </r>
  <r>
    <x v="356"/>
    <s v="INV-2312-357"/>
    <n v="123457145"/>
    <s v="PC-IND-PC69J-06"/>
    <x v="1"/>
    <n v="235"/>
    <n v="27"/>
    <n v="6345"/>
    <n v="123456789"/>
    <s v="Pune"/>
  </r>
  <r>
    <x v="357"/>
    <s v="INV-2312-358"/>
    <n v="123457146"/>
    <s v="ED-IND-JO61C-83"/>
    <x v="0"/>
    <n v="300"/>
    <n v="26"/>
    <n v="7800"/>
    <n v="123456789"/>
    <s v="Pune"/>
  </r>
  <r>
    <x v="358"/>
    <s v="INV-2312-359"/>
    <n v="123457147"/>
    <s v="ED-IND-NP64E-24"/>
    <x v="0"/>
    <n v="208"/>
    <n v="22"/>
    <n v="4576"/>
    <n v="123456789"/>
    <s v="Pune"/>
  </r>
  <r>
    <x v="359"/>
    <s v="INV-2312-360"/>
    <n v="123457148"/>
    <s v="ED-IND-GB73G-89"/>
    <x v="0"/>
    <n v="295"/>
    <n v="30"/>
    <n v="8850"/>
    <n v="123456789"/>
    <s v="Pune"/>
  </r>
  <r>
    <x v="360"/>
    <s v="INV-2312-361"/>
    <n v="123457149"/>
    <s v="ED-IND-KQ11J-23"/>
    <x v="0"/>
    <n v="203"/>
    <n v="29"/>
    <n v="5887"/>
    <n v="123456789"/>
    <s v="Pune"/>
  </r>
  <r>
    <x v="361"/>
    <s v="INV-2312-362"/>
    <n v="123457150"/>
    <s v="ED-IND-CK50Z-55"/>
    <x v="0"/>
    <n v="203"/>
    <n v="28"/>
    <n v="5684"/>
    <n v="123456789"/>
    <s v="Mumbai"/>
  </r>
  <r>
    <x v="362"/>
    <s v="INV-2401-363"/>
    <n v="123457151"/>
    <s v="PC-IND-TH16V-28"/>
    <x v="1"/>
    <n v="914"/>
    <n v="21"/>
    <n v="19194"/>
    <n v="123456789"/>
    <s v="Pune"/>
  </r>
  <r>
    <x v="363"/>
    <s v="INV-2401-364"/>
    <n v="123457152"/>
    <s v="ED-IND-CK35Q-03"/>
    <x v="0"/>
    <n v="592"/>
    <n v="27"/>
    <n v="15984"/>
    <n v="123456789"/>
    <s v="Pune"/>
  </r>
  <r>
    <x v="364"/>
    <s v="INV-2401-365"/>
    <n v="123457153"/>
    <s v="ED-IND-CH49W-59"/>
    <x v="0"/>
    <n v="913"/>
    <n v="28"/>
    <n v="25564"/>
    <n v="123456789"/>
    <s v="Pune"/>
  </r>
  <r>
    <x v="365"/>
    <s v="INV-2401-366"/>
    <n v="123457154"/>
    <s v="ED-IND-SG48S-35"/>
    <x v="0"/>
    <n v="682"/>
    <n v="29"/>
    <n v="19778"/>
    <n v="123456789"/>
    <s v="Pune"/>
  </r>
  <r>
    <x v="366"/>
    <s v="INV-2401-367"/>
    <n v="123457155"/>
    <s v="PC-IND-CL24B-65"/>
    <x v="1"/>
    <n v="956"/>
    <n v="28"/>
    <n v="26768"/>
    <n v="123456789"/>
    <s v="Mumbai"/>
  </r>
  <r>
    <x v="367"/>
    <s v="INV-2401-368"/>
    <n v="123457156"/>
    <s v="ED-IND-WH42Q-32"/>
    <x v="0"/>
    <n v="540"/>
    <n v="30"/>
    <n v="16200"/>
    <n v="123456789"/>
    <s v="Mumbai"/>
  </r>
  <r>
    <x v="368"/>
    <s v="INV-2401-369"/>
    <n v="123457157"/>
    <s v="PC-IND-ST10Y-44"/>
    <x v="1"/>
    <n v="852"/>
    <n v="21"/>
    <n v="17892"/>
    <n v="123456789"/>
    <s v="Mumbai"/>
  </r>
  <r>
    <x v="369"/>
    <s v="INV-2401-370"/>
    <n v="123457158"/>
    <s v="PC-IND-VT15K-43"/>
    <x v="1"/>
    <n v="673"/>
    <n v="21"/>
    <n v="14133"/>
    <n v="123456789"/>
    <s v="Pune"/>
  </r>
  <r>
    <x v="370"/>
    <s v="INV-2401-371"/>
    <n v="123457159"/>
    <s v="PC-IND-CS19L-16"/>
    <x v="1"/>
    <n v="807"/>
    <n v="25"/>
    <n v="20175"/>
    <n v="123456789"/>
    <s v="Pune"/>
  </r>
  <r>
    <x v="371"/>
    <s v="INV-2401-372"/>
    <n v="123457160"/>
    <s v="ED-IND-KS21T-93"/>
    <x v="0"/>
    <n v="643"/>
    <n v="22"/>
    <n v="14146"/>
    <n v="123456789"/>
    <s v="Pune"/>
  </r>
  <r>
    <x v="372"/>
    <s v="INV-2401-373"/>
    <n v="123457161"/>
    <s v="ED-IND-KA81H-18"/>
    <x v="0"/>
    <n v="943"/>
    <n v="28"/>
    <n v="26404"/>
    <n v="123456789"/>
    <s v="Mumbai"/>
  </r>
  <r>
    <x v="373"/>
    <s v="INV-2401-374"/>
    <n v="123457162"/>
    <s v="PC-IND-SY54Z-36"/>
    <x v="1"/>
    <n v="864"/>
    <n v="21"/>
    <n v="18144"/>
    <n v="123456789"/>
    <s v="Pune"/>
  </r>
  <r>
    <x v="374"/>
    <s v="INV-2401-375"/>
    <n v="123457163"/>
    <s v="ED-IND-UH50A-20"/>
    <x v="0"/>
    <n v="590"/>
    <n v="23"/>
    <n v="13570"/>
    <n v="123456789"/>
    <s v="Pune"/>
  </r>
  <r>
    <x v="375"/>
    <s v="INV-2401-376"/>
    <n v="123457164"/>
    <s v="PC-IND-IZ64F-87"/>
    <x v="1"/>
    <n v="522"/>
    <n v="22"/>
    <n v="11484"/>
    <n v="123456789"/>
    <s v="Pune"/>
  </r>
  <r>
    <x v="376"/>
    <s v="INV-2401-377"/>
    <n v="123457165"/>
    <s v="ED-IND-AS92B-02"/>
    <x v="0"/>
    <n v="663"/>
    <n v="21"/>
    <n v="13923"/>
    <n v="123456789"/>
    <s v="Pune"/>
  </r>
  <r>
    <x v="377"/>
    <s v="INV-2401-378"/>
    <n v="123457166"/>
    <s v="ED-IND-SR73W-14"/>
    <x v="0"/>
    <n v="509"/>
    <n v="25"/>
    <n v="12725"/>
    <n v="123456789"/>
    <s v="Mumbai"/>
  </r>
  <r>
    <x v="378"/>
    <s v="INV-2401-379"/>
    <n v="123457167"/>
    <s v="ED-IND-FC90H-79"/>
    <x v="0"/>
    <n v="698"/>
    <n v="30"/>
    <n v="20940"/>
    <n v="123456789"/>
    <s v="Pune"/>
  </r>
  <r>
    <x v="379"/>
    <s v="INV-2401-380"/>
    <n v="123457168"/>
    <s v="PC-IND-LQ61T-42"/>
    <x v="1"/>
    <n v="874"/>
    <n v="25"/>
    <n v="21850"/>
    <n v="123456789"/>
    <s v="Pune"/>
  </r>
  <r>
    <x v="380"/>
    <s v="INV-2401-381"/>
    <n v="123457169"/>
    <s v="ED-IND-XR40M-51"/>
    <x v="0"/>
    <n v="861"/>
    <n v="26"/>
    <n v="22386"/>
    <n v="123456789"/>
    <s v="Pune"/>
  </r>
  <r>
    <x v="381"/>
    <s v="INV-2401-382"/>
    <n v="123457170"/>
    <s v="ED-IND-UZ25P-12"/>
    <x v="0"/>
    <n v="834"/>
    <n v="25"/>
    <n v="20850"/>
    <n v="123456789"/>
    <s v="Pune"/>
  </r>
  <r>
    <x v="382"/>
    <s v="INV-2401-383"/>
    <n v="123457171"/>
    <s v="PC-IND-EL74L-67"/>
    <x v="1"/>
    <n v="835"/>
    <n v="26"/>
    <n v="21710"/>
    <n v="123456789"/>
    <s v="Pune"/>
  </r>
  <r>
    <x v="383"/>
    <s v="INV-2401-384"/>
    <n v="123457172"/>
    <s v="PC-IND-KH67D-83"/>
    <x v="1"/>
    <n v="843"/>
    <n v="25"/>
    <n v="21075"/>
    <n v="123456789"/>
    <s v="Pune"/>
  </r>
  <r>
    <x v="384"/>
    <s v="INV-2401-385"/>
    <n v="123457173"/>
    <s v="ED-IND-HT56M-64"/>
    <x v="0"/>
    <n v="938"/>
    <n v="28"/>
    <n v="26264"/>
    <n v="123456789"/>
    <s v="Pune"/>
  </r>
  <r>
    <x v="385"/>
    <s v="INV-2401-386"/>
    <n v="123457174"/>
    <s v="PC-IND-DZ97R-67"/>
    <x v="1"/>
    <n v="507"/>
    <n v="27"/>
    <n v="13689"/>
    <n v="123456789"/>
    <s v="Mumbai"/>
  </r>
  <r>
    <x v="386"/>
    <s v="INV-2401-387"/>
    <n v="123457175"/>
    <s v="ED-IND-PE72P-80"/>
    <x v="0"/>
    <n v="726"/>
    <n v="21"/>
    <n v="15246"/>
    <n v="123456789"/>
    <s v="Pune"/>
  </r>
  <r>
    <x v="387"/>
    <s v="INV-2401-388"/>
    <n v="123457176"/>
    <s v="ED-IND-UK36S-57"/>
    <x v="0"/>
    <n v="669"/>
    <n v="27"/>
    <n v="18063"/>
    <n v="123456789"/>
    <s v="Pune"/>
  </r>
  <r>
    <x v="388"/>
    <s v="INV-2401-389"/>
    <n v="123457177"/>
    <s v="ED-IND-EW94F-08"/>
    <x v="0"/>
    <n v="755"/>
    <n v="28"/>
    <n v="21140"/>
    <n v="123456789"/>
    <s v="Pune"/>
  </r>
  <r>
    <x v="389"/>
    <s v="INV-2401-390"/>
    <n v="123457178"/>
    <s v="ED-IND-DP53U-61"/>
    <x v="0"/>
    <n v="892"/>
    <n v="22"/>
    <n v="19624"/>
    <n v="123456789"/>
    <s v="Pune"/>
  </r>
  <r>
    <x v="390"/>
    <s v="INV-2401-391"/>
    <n v="123457179"/>
    <s v="PC-IND-LV16Y-64"/>
    <x v="1"/>
    <n v="889"/>
    <n v="31"/>
    <n v="27559"/>
    <n v="123456789"/>
    <s v="Pune"/>
  </r>
  <r>
    <x v="391"/>
    <s v="INV-2401-392"/>
    <n v="123457180"/>
    <s v="ED-IND-QX56H-85"/>
    <x v="0"/>
    <n v="552"/>
    <n v="24"/>
    <n v="13248"/>
    <n v="123456789"/>
    <s v="Pune"/>
  </r>
  <r>
    <x v="392"/>
    <s v="INV-2401-393"/>
    <n v="123457181"/>
    <s v="PC-IND-NT85T-12"/>
    <x v="1"/>
    <n v="943"/>
    <n v="28"/>
    <n v="26404"/>
    <n v="123456789"/>
    <s v="Pune"/>
  </r>
  <r>
    <x v="393"/>
    <s v="INV-2402-394"/>
    <n v="123457182"/>
    <s v="PC-IND-NR38K-95"/>
    <x v="1"/>
    <n v="703"/>
    <n v="29"/>
    <n v="20387"/>
    <n v="123456789"/>
    <s v="Pune"/>
  </r>
  <r>
    <x v="394"/>
    <s v="INV-2402-395"/>
    <n v="123457183"/>
    <s v="PC-IND-SN42B-68"/>
    <x v="1"/>
    <n v="661"/>
    <n v="28"/>
    <n v="18508"/>
    <n v="123456789"/>
    <s v="Pune"/>
  </r>
  <r>
    <x v="395"/>
    <s v="INV-2402-396"/>
    <n v="123457184"/>
    <s v="ED-IND-ZH47Y-87"/>
    <x v="0"/>
    <n v="624"/>
    <n v="23"/>
    <n v="14352"/>
    <n v="123456789"/>
    <s v="Mumbai"/>
  </r>
  <r>
    <x v="396"/>
    <s v="INV-2402-397"/>
    <n v="123457185"/>
    <s v="ED-IND-WV35R-39"/>
    <x v="0"/>
    <n v="624"/>
    <n v="30"/>
    <n v="18720"/>
    <n v="123456789"/>
    <s v="Mumbai"/>
  </r>
  <r>
    <x v="397"/>
    <s v="INV-2402-398"/>
    <n v="123457186"/>
    <s v="ED-IND-DI56U-78"/>
    <x v="0"/>
    <n v="931"/>
    <n v="28"/>
    <n v="26068"/>
    <n v="123456789"/>
    <s v="Mumbai"/>
  </r>
  <r>
    <x v="398"/>
    <s v="INV-2402-399"/>
    <n v="123457187"/>
    <s v="ED-IND-GD10D-73"/>
    <x v="0"/>
    <n v="624"/>
    <n v="24"/>
    <n v="14976"/>
    <n v="123456789"/>
    <s v="Mumbai"/>
  </r>
  <r>
    <x v="399"/>
    <s v="INV-2402-400"/>
    <n v="123457188"/>
    <s v="ED-IND-PL14K-15"/>
    <x v="0"/>
    <n v="607"/>
    <n v="31"/>
    <n v="18817"/>
    <n v="123456789"/>
    <s v="Mumbai"/>
  </r>
  <r>
    <x v="400"/>
    <s v="INV-2402-401"/>
    <n v="123457189"/>
    <s v="ED-IND-TF42R-49"/>
    <x v="0"/>
    <n v="978"/>
    <n v="25"/>
    <n v="24450"/>
    <n v="123456789"/>
    <s v="Pune"/>
  </r>
  <r>
    <x v="401"/>
    <s v="INV-2402-402"/>
    <n v="123457190"/>
    <s v="ED-IND-BF45S-26"/>
    <x v="0"/>
    <n v="767"/>
    <n v="30"/>
    <n v="23010"/>
    <n v="123456789"/>
    <s v="Pune"/>
  </r>
  <r>
    <x v="402"/>
    <s v="INV-2402-403"/>
    <n v="123457191"/>
    <s v="ED-IND-HA79V-51"/>
    <x v="0"/>
    <n v="922"/>
    <n v="29"/>
    <n v="26738"/>
    <n v="123456789"/>
    <s v="Pune"/>
  </r>
  <r>
    <x v="403"/>
    <s v="INV-2402-404"/>
    <n v="123457192"/>
    <s v="PC-IND-GP84Y-49"/>
    <x v="1"/>
    <n v="558"/>
    <n v="28"/>
    <n v="15624"/>
    <n v="123456789"/>
    <s v="Pune"/>
  </r>
  <r>
    <x v="404"/>
    <s v="INV-2402-405"/>
    <n v="123457193"/>
    <s v="PC-IND-DI79R-24"/>
    <x v="1"/>
    <n v="565"/>
    <n v="24"/>
    <n v="13560"/>
    <n v="123456789"/>
    <s v="Pune"/>
  </r>
  <r>
    <x v="405"/>
    <s v="INV-2402-406"/>
    <n v="123457194"/>
    <s v="ED-IND-KV98A-82"/>
    <x v="0"/>
    <n v="792"/>
    <n v="21"/>
    <n v="16632"/>
    <n v="123456789"/>
    <s v="Pune"/>
  </r>
  <r>
    <x v="406"/>
    <s v="INV-2402-407"/>
    <n v="123457195"/>
    <s v="ED-IND-QW67W-84"/>
    <x v="0"/>
    <n v="836"/>
    <n v="27"/>
    <n v="22572"/>
    <n v="123456789"/>
    <s v="Pune"/>
  </r>
  <r>
    <x v="407"/>
    <s v="INV-2402-408"/>
    <n v="123457196"/>
    <s v="ED-IND-MR35W-40"/>
    <x v="0"/>
    <n v="926"/>
    <n v="21"/>
    <n v="19446"/>
    <n v="123456789"/>
    <s v="Mumbai"/>
  </r>
  <r>
    <x v="408"/>
    <s v="INV-2402-409"/>
    <n v="123457197"/>
    <s v="ED-IND-LX66Z-85"/>
    <x v="0"/>
    <n v="957"/>
    <n v="28"/>
    <n v="26796"/>
    <n v="123456789"/>
    <s v="Pune"/>
  </r>
  <r>
    <x v="409"/>
    <s v="INV-2402-410"/>
    <n v="123457198"/>
    <s v="ED-IND-AM96N-61"/>
    <x v="0"/>
    <n v="646"/>
    <n v="29"/>
    <n v="18734"/>
    <n v="123456789"/>
    <s v="Pune"/>
  </r>
  <r>
    <x v="410"/>
    <s v="INV-2402-411"/>
    <n v="123457199"/>
    <s v="ED-IND-LI95K-37"/>
    <x v="0"/>
    <n v="550"/>
    <n v="24"/>
    <n v="13200"/>
    <n v="123456789"/>
    <s v="Pune"/>
  </r>
  <r>
    <x v="411"/>
    <s v="INV-2402-412"/>
    <n v="123457200"/>
    <s v="PC-IND-QX17A-98"/>
    <x v="1"/>
    <n v="507"/>
    <n v="22"/>
    <n v="11154"/>
    <n v="123456789"/>
    <s v="Pune"/>
  </r>
  <r>
    <x v="412"/>
    <s v="INV-2402-413"/>
    <n v="123457201"/>
    <s v="ED-IND-RI15Q-93"/>
    <x v="0"/>
    <n v="572"/>
    <n v="28"/>
    <n v="16016"/>
    <n v="123456789"/>
    <s v="Pune"/>
  </r>
  <r>
    <x v="413"/>
    <s v="INV-2402-414"/>
    <n v="123457202"/>
    <s v="ED-IND-TS69Y-23"/>
    <x v="0"/>
    <n v="998"/>
    <n v="21"/>
    <n v="20958"/>
    <n v="123456789"/>
    <s v="Mumbai"/>
  </r>
  <r>
    <x v="414"/>
    <s v="INV-2402-415"/>
    <n v="123457203"/>
    <s v="ED-IND-DB82T-55"/>
    <x v="0"/>
    <n v="782"/>
    <n v="22"/>
    <n v="17204"/>
    <n v="123456789"/>
    <s v="Pune"/>
  </r>
  <r>
    <x v="415"/>
    <s v="INV-2402-416"/>
    <n v="123457204"/>
    <s v="ED-IND-OO26A-57"/>
    <x v="0"/>
    <n v="665"/>
    <n v="24"/>
    <n v="15960"/>
    <n v="123456789"/>
    <s v="Pune"/>
  </r>
  <r>
    <x v="416"/>
    <s v="INV-2402-417"/>
    <n v="123457205"/>
    <s v="ED-IND-GR47F-74"/>
    <x v="0"/>
    <n v="663"/>
    <n v="22"/>
    <n v="14586"/>
    <n v="123456789"/>
    <s v="Pune"/>
  </r>
  <r>
    <x v="417"/>
    <s v="INV-2402-418"/>
    <n v="123457206"/>
    <s v="ED-IND-JC65B-41"/>
    <x v="0"/>
    <n v="799"/>
    <n v="24"/>
    <n v="19176"/>
    <n v="123456789"/>
    <s v="Mumbai"/>
  </r>
  <r>
    <x v="418"/>
    <s v="INV-2402-419"/>
    <n v="123457207"/>
    <s v="ED-IND-KA47B-58"/>
    <x v="0"/>
    <n v="649"/>
    <n v="25"/>
    <n v="16225"/>
    <n v="123456789"/>
    <s v="Pune"/>
  </r>
  <r>
    <x v="419"/>
    <s v="INV-2402-420"/>
    <n v="123457208"/>
    <s v="ED-IND-TP31M-47"/>
    <x v="0"/>
    <n v="835"/>
    <n v="24"/>
    <n v="20040"/>
    <n v="123456789"/>
    <s v="Pune"/>
  </r>
  <r>
    <x v="420"/>
    <s v="INV-2402-421"/>
    <n v="123457209"/>
    <s v="ED-IND-PU76Q-26"/>
    <x v="0"/>
    <n v="904"/>
    <n v="30"/>
    <n v="27120"/>
    <n v="123456789"/>
    <s v="Pune"/>
  </r>
  <r>
    <x v="421"/>
    <s v="INV-2402-422"/>
    <n v="123457210"/>
    <s v="ED-IND-UA80H-96"/>
    <x v="0"/>
    <n v="558"/>
    <n v="26"/>
    <n v="14508"/>
    <n v="123456789"/>
    <s v="Pune"/>
  </r>
  <r>
    <x v="422"/>
    <s v="INV-2403-423"/>
    <n v="123457211"/>
    <s v="ED-IND-FN30B-54"/>
    <x v="0"/>
    <n v="703"/>
    <n v="21"/>
    <n v="14763"/>
    <n v="123456789"/>
    <s v="Pune"/>
  </r>
  <r>
    <x v="423"/>
    <s v="INV-2403-424"/>
    <n v="123457212"/>
    <s v="PC-IND-HQ41J-38"/>
    <x v="1"/>
    <n v="655"/>
    <n v="26"/>
    <n v="17030"/>
    <n v="123456789"/>
    <s v="Pune"/>
  </r>
  <r>
    <x v="424"/>
    <s v="INV-2403-425"/>
    <n v="123457213"/>
    <s v="PC-IND-TV38F-20"/>
    <x v="1"/>
    <n v="559"/>
    <n v="22"/>
    <n v="12298"/>
    <n v="123456789"/>
    <s v="Pune"/>
  </r>
  <r>
    <x v="425"/>
    <s v="INV-2403-426"/>
    <n v="123457214"/>
    <s v="ED-IND-LU82I-21"/>
    <x v="0"/>
    <n v="611"/>
    <n v="29"/>
    <n v="17719"/>
    <n v="123456789"/>
    <s v="Pune"/>
  </r>
  <r>
    <x v="426"/>
    <s v="INV-2403-427"/>
    <n v="123457215"/>
    <s v="PC-IND-GW57R-80"/>
    <x v="1"/>
    <n v="633"/>
    <n v="23"/>
    <n v="14559"/>
    <n v="123456789"/>
    <s v="Mumbai"/>
  </r>
  <r>
    <x v="427"/>
    <s v="INV-2403-428"/>
    <n v="123457216"/>
    <s v="PC-IND-TH48V-55"/>
    <x v="1"/>
    <n v="594"/>
    <n v="28"/>
    <n v="16632"/>
    <n v="123456789"/>
    <s v="Pune"/>
  </r>
  <r>
    <x v="428"/>
    <s v="INV-2403-429"/>
    <n v="123457217"/>
    <s v="ED-IND-IH69L-89"/>
    <x v="0"/>
    <n v="880"/>
    <n v="24"/>
    <n v="21120"/>
    <n v="123456789"/>
    <s v="Pune"/>
  </r>
  <r>
    <x v="429"/>
    <s v="INV-2403-430"/>
    <n v="123457218"/>
    <s v="ED-IND-WP36V-46"/>
    <x v="0"/>
    <n v="530"/>
    <n v="28"/>
    <n v="14840"/>
    <n v="123456789"/>
    <s v="Pune"/>
  </r>
  <r>
    <x v="430"/>
    <s v="INV-2403-431"/>
    <n v="123457219"/>
    <s v="PC-IND-WI94H-32"/>
    <x v="1"/>
    <n v="969"/>
    <n v="26"/>
    <n v="25194"/>
    <n v="123456789"/>
    <s v="Pune"/>
  </r>
  <r>
    <x v="431"/>
    <s v="INV-2403-432"/>
    <n v="123457220"/>
    <s v="ED-IND-CC44Q-46"/>
    <x v="0"/>
    <n v="554"/>
    <n v="28"/>
    <n v="15512"/>
    <n v="123456789"/>
    <s v="Pune"/>
  </r>
  <r>
    <x v="432"/>
    <s v="INV-2403-433"/>
    <n v="123457221"/>
    <s v="PC-IND-ZH78L-24"/>
    <x v="1"/>
    <n v="972"/>
    <n v="31"/>
    <n v="30132"/>
    <n v="123456789"/>
    <s v="Mumbai"/>
  </r>
  <r>
    <x v="433"/>
    <s v="INV-2403-434"/>
    <n v="123457222"/>
    <s v="ED-IND-YL38K-96"/>
    <x v="0"/>
    <n v="795"/>
    <n v="28"/>
    <n v="22260"/>
    <n v="123456789"/>
    <s v="Mumbai"/>
  </r>
  <r>
    <x v="434"/>
    <s v="INV-2403-435"/>
    <n v="123457223"/>
    <s v="ED-IND-RB70L-41"/>
    <x v="0"/>
    <n v="799"/>
    <n v="30"/>
    <n v="23970"/>
    <n v="123456789"/>
    <s v="Mumbai"/>
  </r>
  <r>
    <x v="435"/>
    <s v="INV-2403-436"/>
    <n v="123457224"/>
    <s v="PC-IND-KD55V-71"/>
    <x v="1"/>
    <n v="657"/>
    <n v="25"/>
    <n v="16425"/>
    <n v="123456789"/>
    <s v="Pune"/>
  </r>
  <r>
    <x v="436"/>
    <s v="INV-2403-437"/>
    <n v="123457225"/>
    <s v="ED-IND-FC94J-15"/>
    <x v="0"/>
    <n v="890"/>
    <n v="22"/>
    <n v="19580"/>
    <n v="123456789"/>
    <s v="Pune"/>
  </r>
  <r>
    <x v="437"/>
    <s v="INV-2403-438"/>
    <n v="123457226"/>
    <s v="ED-IND-RU34H-24"/>
    <x v="0"/>
    <n v="541"/>
    <n v="21"/>
    <n v="11361"/>
    <n v="123456789"/>
    <s v="Mumbai"/>
  </r>
  <r>
    <x v="438"/>
    <s v="INV-2403-439"/>
    <n v="123457227"/>
    <s v="PC-IND-EZ59H-64"/>
    <x v="1"/>
    <n v="686"/>
    <n v="26"/>
    <n v="17836"/>
    <n v="123456789"/>
    <s v="Pune"/>
  </r>
  <r>
    <x v="439"/>
    <s v="INV-2403-440"/>
    <n v="123457228"/>
    <s v="ED-IND-SK26U-33"/>
    <x v="0"/>
    <n v="603"/>
    <n v="25"/>
    <n v="15075"/>
    <n v="123456789"/>
    <s v="Pune"/>
  </r>
  <r>
    <x v="440"/>
    <s v="INV-2403-441"/>
    <n v="123457229"/>
    <s v="ED-IND-ZW56K-80"/>
    <x v="0"/>
    <n v="746"/>
    <n v="23"/>
    <n v="17158"/>
    <n v="123456789"/>
    <s v="Pune"/>
  </r>
  <r>
    <x v="441"/>
    <s v="INV-2403-442"/>
    <n v="123457230"/>
    <s v="ED-IND-RG52L-05"/>
    <x v="0"/>
    <n v="802"/>
    <n v="30"/>
    <n v="24060"/>
    <n v="123456789"/>
    <s v="Pune"/>
  </r>
  <r>
    <x v="442"/>
    <s v="INV-2403-443"/>
    <n v="123457231"/>
    <s v="ED-IND-LP54M-80"/>
    <x v="0"/>
    <n v="909"/>
    <n v="24"/>
    <n v="21816"/>
    <n v="123456789"/>
    <s v="Pune"/>
  </r>
  <r>
    <x v="443"/>
    <s v="INV-2403-444"/>
    <n v="123457232"/>
    <s v="ED-IND-VA64W-87"/>
    <x v="0"/>
    <n v="772"/>
    <n v="26"/>
    <n v="20072"/>
    <n v="123456789"/>
    <s v="Pune"/>
  </r>
  <r>
    <x v="444"/>
    <s v="INV-2403-445"/>
    <n v="123457233"/>
    <s v="ED-IND-GY52O-25"/>
    <x v="0"/>
    <n v="684"/>
    <n v="25"/>
    <n v="17100"/>
    <n v="123456789"/>
    <s v="Pune"/>
  </r>
  <r>
    <x v="445"/>
    <s v="INV-2403-446"/>
    <n v="123457234"/>
    <s v="ED-IND-FL12U-99"/>
    <x v="0"/>
    <n v="937"/>
    <n v="24"/>
    <n v="22488"/>
    <n v="123456789"/>
    <s v="Pune"/>
  </r>
  <r>
    <x v="446"/>
    <s v="INV-2403-447"/>
    <n v="123457235"/>
    <s v="PC-IND-RK70Y-49"/>
    <x v="1"/>
    <n v="849"/>
    <n v="24"/>
    <n v="20376"/>
    <n v="123456789"/>
    <s v="Pune"/>
  </r>
  <r>
    <x v="447"/>
    <s v="INV-2403-448"/>
    <n v="123457236"/>
    <s v="PC-IND-XF36Z-55"/>
    <x v="1"/>
    <n v="981"/>
    <n v="21"/>
    <n v="20601"/>
    <n v="123456789"/>
    <s v="Mumbai"/>
  </r>
  <r>
    <x v="448"/>
    <s v="INV-2403-449"/>
    <n v="123457237"/>
    <s v="ED-IND-JZ11T-49"/>
    <x v="0"/>
    <n v="777"/>
    <n v="29"/>
    <n v="22533"/>
    <n v="123456789"/>
    <s v="Mumbai"/>
  </r>
  <r>
    <x v="449"/>
    <s v="INV-2403-450"/>
    <n v="123457238"/>
    <s v="ED-IND-GP87Y-53"/>
    <x v="0"/>
    <n v="795"/>
    <n v="30"/>
    <n v="23850"/>
    <n v="123456789"/>
    <s v="Pune"/>
  </r>
  <r>
    <x v="450"/>
    <s v="INV-2403-451"/>
    <n v="123457239"/>
    <s v="PC-IND-KJ59A-29"/>
    <x v="1"/>
    <n v="571"/>
    <n v="30"/>
    <n v="17130"/>
    <n v="123456789"/>
    <s v="Pune"/>
  </r>
  <r>
    <x v="451"/>
    <s v="INV-2403-452"/>
    <n v="123457240"/>
    <s v="ED-IND-XG87M-46"/>
    <x v="0"/>
    <n v="563"/>
    <n v="27"/>
    <n v="15201"/>
    <n v="123456789"/>
    <s v="Pune"/>
  </r>
  <r>
    <x v="452"/>
    <s v="INV-2403-453"/>
    <n v="123457241"/>
    <s v="ED-IND-IX60T-53"/>
    <x v="0"/>
    <n v="570"/>
    <n v="26"/>
    <n v="14820"/>
    <n v="123456789"/>
    <s v="Pune"/>
  </r>
  <r>
    <x v="453"/>
    <s v="INV-2404-454"/>
    <n v="123457242"/>
    <s v="ED-IND-ZX63T-91"/>
    <x v="0"/>
    <n v="673"/>
    <n v="21"/>
    <n v="14133"/>
    <n v="123456789"/>
    <s v="Pune"/>
  </r>
  <r>
    <x v="454"/>
    <s v="INV-2404-455"/>
    <n v="123457243"/>
    <s v="ED-IND-MX65B-33"/>
    <x v="0"/>
    <n v="597"/>
    <n v="26"/>
    <n v="15522"/>
    <n v="123456789"/>
    <s v="Pune"/>
  </r>
  <r>
    <x v="455"/>
    <s v="INV-2404-456"/>
    <n v="123457244"/>
    <s v="ED-IND-UF79Y-15"/>
    <x v="0"/>
    <n v="723"/>
    <n v="29"/>
    <n v="20967"/>
    <n v="123456789"/>
    <s v="Pune"/>
  </r>
  <r>
    <x v="456"/>
    <s v="INV-2404-457"/>
    <n v="123457245"/>
    <s v="PC-IND-CL66K-81"/>
    <x v="1"/>
    <n v="695"/>
    <n v="28"/>
    <n v="19460"/>
    <n v="123456789"/>
    <s v="Mumbai"/>
  </r>
  <r>
    <x v="457"/>
    <s v="INV-2404-458"/>
    <n v="123457246"/>
    <s v="PC-IND-HD72A-18"/>
    <x v="1"/>
    <n v="921"/>
    <n v="21"/>
    <n v="19341"/>
    <n v="123456789"/>
    <s v="Mumbai"/>
  </r>
  <r>
    <x v="458"/>
    <s v="INV-2404-459"/>
    <n v="123457247"/>
    <s v="ED-IND-XT68O-72"/>
    <x v="0"/>
    <n v="800"/>
    <n v="26"/>
    <n v="20800"/>
    <n v="123456789"/>
    <s v="Pune"/>
  </r>
  <r>
    <x v="459"/>
    <s v="INV-2404-460"/>
    <n v="123457248"/>
    <s v="ED-IND-EL18K-72"/>
    <x v="0"/>
    <n v="828"/>
    <n v="28"/>
    <n v="23184"/>
    <n v="123456789"/>
    <s v="Pune"/>
  </r>
  <r>
    <x v="460"/>
    <s v="INV-2404-461"/>
    <n v="123457249"/>
    <s v="ED-IND-MS24V-94"/>
    <x v="0"/>
    <n v="676"/>
    <n v="21"/>
    <n v="14196"/>
    <n v="123456789"/>
    <s v="Mumbai"/>
  </r>
  <r>
    <x v="461"/>
    <s v="INV-2404-462"/>
    <n v="123457250"/>
    <s v="ED-IND-VG37N-91"/>
    <x v="0"/>
    <n v="941"/>
    <n v="24"/>
    <n v="22584"/>
    <n v="123456789"/>
    <s v="Pune"/>
  </r>
  <r>
    <x v="462"/>
    <s v="INV-2404-463"/>
    <n v="123457251"/>
    <s v="ED-IND-FX61T-41"/>
    <x v="0"/>
    <n v="903"/>
    <n v="24"/>
    <n v="21672"/>
    <n v="123456789"/>
    <s v="Pune"/>
  </r>
  <r>
    <x v="463"/>
    <s v="INV-2404-464"/>
    <n v="123457252"/>
    <s v="ED-IND-XG43H-75"/>
    <x v="0"/>
    <n v="529"/>
    <n v="27"/>
    <n v="14283"/>
    <n v="123456789"/>
    <s v="Pune"/>
  </r>
  <r>
    <x v="464"/>
    <s v="INV-2404-465"/>
    <n v="123457253"/>
    <s v="ED-IND-ZI56Y-82"/>
    <x v="0"/>
    <n v="834"/>
    <n v="21"/>
    <n v="17514"/>
    <n v="123456789"/>
    <s v="Pune"/>
  </r>
  <r>
    <x v="465"/>
    <s v="INV-2404-466"/>
    <n v="123457254"/>
    <s v="ED-IND-XK95I-97"/>
    <x v="0"/>
    <n v="961"/>
    <n v="27"/>
    <n v="25947"/>
    <n v="123456789"/>
    <s v="Pune"/>
  </r>
  <r>
    <x v="466"/>
    <s v="INV-2404-467"/>
    <n v="123457255"/>
    <s v="ED-IND-FH73Y-70"/>
    <x v="0"/>
    <n v="649"/>
    <n v="25"/>
    <n v="16225"/>
    <n v="123456789"/>
    <s v="Pune"/>
  </r>
  <r>
    <x v="467"/>
    <s v="INV-2404-468"/>
    <n v="123457256"/>
    <s v="ED-IND-UI14M-96"/>
    <x v="0"/>
    <n v="784"/>
    <n v="22"/>
    <n v="17248"/>
    <n v="123456789"/>
    <s v="Pune"/>
  </r>
  <r>
    <x v="468"/>
    <s v="INV-2404-469"/>
    <n v="123457257"/>
    <s v="ED-IND-YB24P-98"/>
    <x v="0"/>
    <n v="868"/>
    <n v="26"/>
    <n v="22568"/>
    <n v="123456789"/>
    <s v="Pune"/>
  </r>
  <r>
    <x v="469"/>
    <s v="INV-2404-470"/>
    <n v="123457258"/>
    <s v="ED-IND-UN50O-99"/>
    <x v="0"/>
    <n v="555"/>
    <n v="31"/>
    <n v="17205"/>
    <n v="123456789"/>
    <s v="Pune"/>
  </r>
  <r>
    <x v="470"/>
    <s v="INV-2404-471"/>
    <n v="123457259"/>
    <s v="ED-IND-YT69S-10"/>
    <x v="0"/>
    <n v="634"/>
    <n v="27"/>
    <n v="17118"/>
    <n v="123456789"/>
    <s v="Pune"/>
  </r>
  <r>
    <x v="471"/>
    <s v="INV-2404-472"/>
    <n v="123457260"/>
    <s v="ED-IND-WK23M-46"/>
    <x v="0"/>
    <n v="846"/>
    <n v="31"/>
    <n v="26226"/>
    <n v="123456789"/>
    <s v="Pune"/>
  </r>
  <r>
    <x v="472"/>
    <s v="INV-2404-473"/>
    <n v="123457261"/>
    <s v="ED-IND-FH28I-67"/>
    <x v="0"/>
    <n v="723"/>
    <n v="30"/>
    <n v="21690"/>
    <n v="123456789"/>
    <s v="Mumbai"/>
  </r>
  <r>
    <x v="473"/>
    <s v="INV-2404-474"/>
    <n v="123457262"/>
    <s v="ED-IND-FR75G-33"/>
    <x v="0"/>
    <n v="748"/>
    <n v="30"/>
    <n v="22440"/>
    <n v="123456789"/>
    <s v="Pune"/>
  </r>
  <r>
    <x v="474"/>
    <s v="INV-2404-475"/>
    <n v="123457263"/>
    <s v="ED-IND-XS66G-28"/>
    <x v="0"/>
    <n v="739"/>
    <n v="31"/>
    <n v="22909"/>
    <n v="123456789"/>
    <s v="Mumbai"/>
  </r>
  <r>
    <x v="475"/>
    <s v="INV-2404-476"/>
    <n v="123457264"/>
    <s v="ED-IND-SR15F-05"/>
    <x v="0"/>
    <n v="518"/>
    <n v="24"/>
    <n v="12432"/>
    <n v="123456789"/>
    <s v="Pune"/>
  </r>
  <r>
    <x v="476"/>
    <s v="INV-2404-477"/>
    <n v="123457265"/>
    <s v="PC-IND-SZ23D-77"/>
    <x v="1"/>
    <n v="875"/>
    <n v="25"/>
    <n v="21875"/>
    <n v="123456789"/>
    <s v="Pune"/>
  </r>
  <r>
    <x v="477"/>
    <s v="INV-2404-478"/>
    <n v="123457266"/>
    <s v="PC-IND-OF37E-72"/>
    <x v="1"/>
    <n v="865"/>
    <n v="26"/>
    <n v="22490"/>
    <n v="123456789"/>
    <s v="Mumbai"/>
  </r>
  <r>
    <x v="478"/>
    <s v="INV-2404-479"/>
    <n v="123457267"/>
    <s v="PC-IND-RF53K-15"/>
    <x v="1"/>
    <n v="854"/>
    <n v="28"/>
    <n v="23912"/>
    <n v="123456789"/>
    <s v="Pune"/>
  </r>
  <r>
    <x v="479"/>
    <s v="INV-2404-480"/>
    <n v="123457268"/>
    <s v="PC-IND-YE51J-23"/>
    <x v="1"/>
    <n v="823"/>
    <n v="30"/>
    <n v="24690"/>
    <n v="123456789"/>
    <s v="Pune"/>
  </r>
  <r>
    <x v="480"/>
    <s v="INV-2404-481"/>
    <n v="123457269"/>
    <s v="ED-IND-PN45W-80"/>
    <x v="0"/>
    <n v="817"/>
    <n v="27"/>
    <n v="22059"/>
    <n v="123456789"/>
    <s v="Mumbai"/>
  </r>
  <r>
    <x v="481"/>
    <s v="INV-2404-482"/>
    <n v="123457270"/>
    <s v="ED-IND-UK76B-44"/>
    <x v="0"/>
    <n v="572"/>
    <n v="21"/>
    <n v="12012"/>
    <n v="123456789"/>
    <s v="Pune"/>
  </r>
  <r>
    <x v="482"/>
    <s v="INV-2404-483"/>
    <n v="123457271"/>
    <s v="ED-IND-ZQ23E-67"/>
    <x v="0"/>
    <n v="794"/>
    <n v="25"/>
    <n v="19850"/>
    <n v="123456789"/>
    <s v="Mumbai"/>
  </r>
  <r>
    <x v="483"/>
    <s v="INV-2405-484"/>
    <n v="123457272"/>
    <s v="ED-IND-SN66C-87"/>
    <x v="0"/>
    <n v="970"/>
    <n v="31"/>
    <n v="30070"/>
    <n v="123456789"/>
    <s v="Pune"/>
  </r>
  <r>
    <x v="484"/>
    <s v="INV-2405-485"/>
    <n v="123457273"/>
    <s v="ED-IND-LG63W-48"/>
    <x v="0"/>
    <n v="854"/>
    <n v="28"/>
    <n v="23912"/>
    <n v="123456789"/>
    <s v="Pune"/>
  </r>
  <r>
    <x v="485"/>
    <s v="INV-2405-486"/>
    <n v="123457274"/>
    <s v="PC-IND-FG29F-27"/>
    <x v="1"/>
    <n v="741"/>
    <n v="22"/>
    <n v="16302"/>
    <n v="123456789"/>
    <s v="Pune"/>
  </r>
  <r>
    <x v="486"/>
    <s v="INV-2405-487"/>
    <n v="123457275"/>
    <s v="ED-IND-WQ77V-80"/>
    <x v="0"/>
    <n v="565"/>
    <n v="24"/>
    <n v="13560"/>
    <n v="123456789"/>
    <s v="Mumbai"/>
  </r>
  <r>
    <x v="487"/>
    <s v="INV-2405-488"/>
    <n v="123457276"/>
    <s v="ED-IND-QN86I-98"/>
    <x v="0"/>
    <n v="785"/>
    <n v="23"/>
    <n v="18055"/>
    <n v="123456789"/>
    <s v="Pune"/>
  </r>
  <r>
    <x v="488"/>
    <s v="INV-2405-489"/>
    <n v="123457277"/>
    <s v="ED-IND-VO12B-10"/>
    <x v="0"/>
    <n v="821"/>
    <n v="21"/>
    <n v="17241"/>
    <n v="123456789"/>
    <s v="Pune"/>
  </r>
  <r>
    <x v="489"/>
    <s v="INV-2405-490"/>
    <n v="123457278"/>
    <s v="ED-IND-EN88K-60"/>
    <x v="0"/>
    <n v="701"/>
    <n v="28"/>
    <n v="19628"/>
    <n v="123456789"/>
    <s v="Pune"/>
  </r>
  <r>
    <x v="490"/>
    <s v="INV-2405-491"/>
    <n v="123457279"/>
    <s v="ED-IND-DC84U-77"/>
    <x v="0"/>
    <n v="949"/>
    <n v="30"/>
    <n v="28470"/>
    <n v="123456789"/>
    <s v="Mumbai"/>
  </r>
  <r>
    <x v="491"/>
    <s v="INV-2405-492"/>
    <n v="123457280"/>
    <s v="ED-IND-HG22A-55"/>
    <x v="0"/>
    <n v="774"/>
    <n v="27"/>
    <n v="20898"/>
    <n v="123456789"/>
    <s v="Pune"/>
  </r>
  <r>
    <x v="492"/>
    <s v="INV-2405-493"/>
    <n v="123457281"/>
    <s v="ED-IND-SS44S-99"/>
    <x v="0"/>
    <n v="606"/>
    <n v="21"/>
    <n v="12726"/>
    <n v="123456789"/>
    <s v="Pune"/>
  </r>
  <r>
    <x v="493"/>
    <s v="INV-2405-494"/>
    <n v="123457282"/>
    <s v="PC-IND-QH25U-68"/>
    <x v="1"/>
    <n v="936"/>
    <n v="25"/>
    <n v="23400"/>
    <n v="123456789"/>
    <s v="Pune"/>
  </r>
  <r>
    <x v="494"/>
    <s v="INV-2405-495"/>
    <n v="123457283"/>
    <s v="ED-IND-BA19J-44"/>
    <x v="0"/>
    <n v="578"/>
    <n v="25"/>
    <n v="14450"/>
    <n v="123456789"/>
    <s v="Mumbai"/>
  </r>
  <r>
    <x v="495"/>
    <s v="INV-2405-496"/>
    <n v="123457284"/>
    <s v="ED-IND-WD76F-86"/>
    <x v="0"/>
    <n v="716"/>
    <n v="22"/>
    <n v="15752"/>
    <n v="123456789"/>
    <s v="Pune"/>
  </r>
  <r>
    <x v="496"/>
    <s v="INV-2405-497"/>
    <n v="123457285"/>
    <s v="ED-IND-QQ62B-85"/>
    <x v="0"/>
    <n v="520"/>
    <n v="28"/>
    <n v="14560"/>
    <n v="123456789"/>
    <s v="Pune"/>
  </r>
  <r>
    <x v="497"/>
    <s v="INV-2405-498"/>
    <n v="123457286"/>
    <s v="PC-IND-SO42H-70"/>
    <x v="1"/>
    <n v="773"/>
    <n v="29"/>
    <n v="22417"/>
    <n v="123456789"/>
    <s v="Pune"/>
  </r>
  <r>
    <x v="498"/>
    <s v="INV-2405-499"/>
    <n v="123457287"/>
    <s v="ED-IND-CD90N-05"/>
    <x v="0"/>
    <n v="661"/>
    <n v="21"/>
    <n v="13881"/>
    <n v="123456789"/>
    <s v="Pune"/>
  </r>
  <r>
    <x v="499"/>
    <s v="INV-2405-500"/>
    <n v="123457288"/>
    <s v="ED-IND-NJ31S-75"/>
    <x v="0"/>
    <n v="953"/>
    <n v="28"/>
    <n v="26684"/>
    <n v="123456789"/>
    <s v="Mumbai"/>
  </r>
  <r>
    <x v="500"/>
    <s v="INV-2405-501"/>
    <n v="123457289"/>
    <s v="ED-IND-IM12N-51"/>
    <x v="0"/>
    <n v="668"/>
    <n v="22"/>
    <n v="14696"/>
    <n v="123456789"/>
    <s v="Pune"/>
  </r>
  <r>
    <x v="501"/>
    <s v="INV-2405-502"/>
    <n v="123457290"/>
    <s v="ED-IND-GH80Y-46"/>
    <x v="0"/>
    <n v="584"/>
    <n v="22"/>
    <n v="12848"/>
    <n v="123456789"/>
    <s v="Pune"/>
  </r>
  <r>
    <x v="502"/>
    <s v="INV-2405-503"/>
    <n v="123457291"/>
    <s v="PC-IND-TH98E-88"/>
    <x v="1"/>
    <n v="971"/>
    <n v="29"/>
    <n v="28159"/>
    <n v="123456789"/>
    <s v="Mumbai"/>
  </r>
  <r>
    <x v="503"/>
    <s v="INV-2405-504"/>
    <n v="123457292"/>
    <s v="ED-IND-EI46Z-81"/>
    <x v="0"/>
    <n v="855"/>
    <n v="23"/>
    <n v="19665"/>
    <n v="123456789"/>
    <s v="Pune"/>
  </r>
  <r>
    <x v="504"/>
    <s v="INV-2405-505"/>
    <n v="123457293"/>
    <s v="PC-IND-QS83Q-84"/>
    <x v="1"/>
    <n v="533"/>
    <n v="27"/>
    <n v="14391"/>
    <n v="123456789"/>
    <s v="Pune"/>
  </r>
  <r>
    <x v="505"/>
    <s v="INV-2405-506"/>
    <n v="123457294"/>
    <s v="PC-IND-VP30W-73"/>
    <x v="1"/>
    <n v="989"/>
    <n v="25"/>
    <n v="24725"/>
    <n v="123456789"/>
    <s v="Mumbai"/>
  </r>
  <r>
    <x v="506"/>
    <s v="INV-2405-507"/>
    <n v="123457295"/>
    <s v="ED-IND-RD86G-53"/>
    <x v="0"/>
    <n v="696"/>
    <n v="25"/>
    <n v="17400"/>
    <n v="123456789"/>
    <s v="Pune"/>
  </r>
  <r>
    <x v="507"/>
    <s v="INV-2405-508"/>
    <n v="123457296"/>
    <s v="ED-IND-IZ21P-56"/>
    <x v="0"/>
    <n v="915"/>
    <n v="31"/>
    <n v="28365"/>
    <n v="123456789"/>
    <s v="Mumbai"/>
  </r>
  <r>
    <x v="508"/>
    <s v="INV-2405-509"/>
    <n v="123457297"/>
    <s v="ED-IND-RK46R-82"/>
    <x v="0"/>
    <n v="870"/>
    <n v="28"/>
    <n v="24360"/>
    <n v="123456789"/>
    <s v="Pune"/>
  </r>
  <r>
    <x v="509"/>
    <s v="INV-2405-510"/>
    <n v="123457298"/>
    <s v="ED-IND-GA75S-06"/>
    <x v="0"/>
    <n v="862"/>
    <n v="31"/>
    <n v="26722"/>
    <n v="123456789"/>
    <s v="Pune"/>
  </r>
  <r>
    <x v="510"/>
    <s v="INV-2405-511"/>
    <n v="123457299"/>
    <s v="ED-IND-XK40G-09"/>
    <x v="0"/>
    <n v="892"/>
    <n v="31"/>
    <n v="27652"/>
    <n v="123456789"/>
    <s v="Pune"/>
  </r>
  <r>
    <x v="511"/>
    <s v="INV-2405-512"/>
    <n v="123457300"/>
    <s v="ED-IND-MO79E-95"/>
    <x v="0"/>
    <n v="766"/>
    <n v="24"/>
    <n v="18384"/>
    <n v="123456789"/>
    <s v="Pune"/>
  </r>
  <r>
    <x v="512"/>
    <s v="INV-2405-513"/>
    <n v="123457301"/>
    <s v="ED-IND-CP47H-30"/>
    <x v="0"/>
    <n v="996"/>
    <n v="24"/>
    <n v="23904"/>
    <n v="123456789"/>
    <s v="Mumbai"/>
  </r>
  <r>
    <x v="513"/>
    <s v="INV-2405-514"/>
    <n v="123457302"/>
    <s v="ED-IND-XC16C-47"/>
    <x v="0"/>
    <n v="955"/>
    <n v="23"/>
    <n v="21965"/>
    <n v="123456789"/>
    <s v="Pune"/>
  </r>
  <r>
    <x v="514"/>
    <s v="INV-2406-515"/>
    <n v="123457303"/>
    <s v="ED-IND-LI34P-06"/>
    <x v="0"/>
    <n v="858"/>
    <n v="23"/>
    <n v="19734"/>
    <n v="123456789"/>
    <s v="Pune"/>
  </r>
  <r>
    <x v="515"/>
    <s v="INV-2406-516"/>
    <n v="123457304"/>
    <s v="PC-IND-KZ89R-27"/>
    <x v="1"/>
    <n v="770"/>
    <n v="30"/>
    <n v="23100"/>
    <n v="123456789"/>
    <s v="Mumbai"/>
  </r>
  <r>
    <x v="516"/>
    <s v="INV-2406-517"/>
    <n v="123457305"/>
    <s v="ED-IND-RJ40F-11"/>
    <x v="0"/>
    <n v="768"/>
    <n v="26"/>
    <n v="19968"/>
    <n v="123456789"/>
    <s v="Pune"/>
  </r>
  <r>
    <x v="517"/>
    <s v="INV-2406-518"/>
    <n v="123457306"/>
    <s v="PC-IND-CS63W-59"/>
    <x v="1"/>
    <n v="869"/>
    <n v="27"/>
    <n v="23463"/>
    <n v="123456789"/>
    <s v="Pune"/>
  </r>
  <r>
    <x v="518"/>
    <s v="INV-2406-519"/>
    <n v="123457307"/>
    <s v="ED-IND-VI98V-08"/>
    <x v="0"/>
    <n v="809"/>
    <n v="31"/>
    <n v="25079"/>
    <n v="123456789"/>
    <s v="Pune"/>
  </r>
  <r>
    <x v="519"/>
    <s v="INV-2406-520"/>
    <n v="123457308"/>
    <s v="ED-IND-AN73A-26"/>
    <x v="0"/>
    <n v="540"/>
    <n v="29"/>
    <n v="15660"/>
    <n v="123456789"/>
    <s v="Mumbai"/>
  </r>
  <r>
    <x v="520"/>
    <s v="INV-2406-521"/>
    <n v="123457309"/>
    <s v="ED-IND-DR24N-77"/>
    <x v="0"/>
    <n v="755"/>
    <n v="26"/>
    <n v="19630"/>
    <n v="123456789"/>
    <s v="Pune"/>
  </r>
  <r>
    <x v="521"/>
    <s v="INV-2406-522"/>
    <n v="123457310"/>
    <s v="ED-IND-DX90D-70"/>
    <x v="0"/>
    <n v="994"/>
    <n v="29"/>
    <n v="28826"/>
    <n v="123456789"/>
    <s v="Pune"/>
  </r>
  <r>
    <x v="522"/>
    <s v="INV-2406-523"/>
    <n v="123457311"/>
    <s v="ED-IND-YI64J-44"/>
    <x v="0"/>
    <n v="903"/>
    <n v="25"/>
    <n v="22575"/>
    <n v="123456789"/>
    <s v="Pune"/>
  </r>
  <r>
    <x v="523"/>
    <s v="INV-2406-524"/>
    <n v="123457312"/>
    <s v="ED-IND-CH67J-48"/>
    <x v="0"/>
    <n v="711"/>
    <n v="26"/>
    <n v="18486"/>
    <n v="123456789"/>
    <s v="Pune"/>
  </r>
  <r>
    <x v="524"/>
    <s v="INV-2406-525"/>
    <n v="123457313"/>
    <s v="ED-IND-UI20Y-67"/>
    <x v="0"/>
    <n v="727"/>
    <n v="22"/>
    <n v="15994"/>
    <n v="123456789"/>
    <s v="Pune"/>
  </r>
  <r>
    <x v="525"/>
    <s v="INV-2406-526"/>
    <n v="123457314"/>
    <s v="ED-IND-VE63X-76"/>
    <x v="0"/>
    <n v="814"/>
    <n v="31"/>
    <n v="25234"/>
    <n v="123456789"/>
    <s v="Pune"/>
  </r>
  <r>
    <x v="526"/>
    <s v="INV-2406-527"/>
    <n v="123457315"/>
    <s v="ED-IND-GO89N-82"/>
    <x v="0"/>
    <n v="986"/>
    <n v="25"/>
    <n v="24650"/>
    <n v="123456789"/>
    <s v="Pune"/>
  </r>
  <r>
    <x v="527"/>
    <s v="INV-2406-528"/>
    <n v="123457316"/>
    <s v="ED-IND-FG19V-50"/>
    <x v="0"/>
    <n v="890"/>
    <n v="29"/>
    <n v="25810"/>
    <n v="123456789"/>
    <s v="Pune"/>
  </r>
  <r>
    <x v="528"/>
    <s v="INV-2406-529"/>
    <n v="123457317"/>
    <s v="ED-IND-JX90K-83"/>
    <x v="0"/>
    <n v="824"/>
    <n v="29"/>
    <n v="23896"/>
    <n v="123456789"/>
    <s v="Pune"/>
  </r>
  <r>
    <x v="529"/>
    <s v="INV-2406-530"/>
    <n v="123457318"/>
    <s v="PC-IND-KM35F-18"/>
    <x v="1"/>
    <n v="582"/>
    <n v="29"/>
    <n v="16878"/>
    <n v="123456789"/>
    <s v="Pune"/>
  </r>
  <r>
    <x v="530"/>
    <s v="INV-2406-531"/>
    <n v="123457319"/>
    <s v="PC-IND-BS67Y-16"/>
    <x v="1"/>
    <n v="754"/>
    <n v="22"/>
    <n v="16588"/>
    <n v="123456789"/>
    <s v="Mumbai"/>
  </r>
  <r>
    <x v="531"/>
    <s v="INV-2406-532"/>
    <n v="123457320"/>
    <s v="ED-IND-UK50Y-68"/>
    <x v="0"/>
    <n v="553"/>
    <n v="24"/>
    <n v="13272"/>
    <n v="123456789"/>
    <s v="Pune"/>
  </r>
  <r>
    <x v="532"/>
    <s v="INV-2406-533"/>
    <n v="123457321"/>
    <s v="ED-IND-PO91J-47"/>
    <x v="0"/>
    <n v="758"/>
    <n v="25"/>
    <n v="18950"/>
    <n v="123456789"/>
    <s v="Pune"/>
  </r>
  <r>
    <x v="533"/>
    <s v="INV-2406-534"/>
    <n v="123457322"/>
    <s v="PC-IND-VY78W-36"/>
    <x v="0"/>
    <n v="578"/>
    <n v="23"/>
    <n v="13294"/>
    <n v="123456789"/>
    <s v="Pune"/>
  </r>
  <r>
    <x v="534"/>
    <s v="INV-2406-535"/>
    <n v="123457323"/>
    <s v="ED-IND-DJ46H-39"/>
    <x v="0"/>
    <n v="737"/>
    <n v="24"/>
    <n v="17688"/>
    <n v="123456789"/>
    <s v="Pune"/>
  </r>
  <r>
    <x v="535"/>
    <s v="INV-2406-536"/>
    <n v="123457324"/>
    <s v="PC-IND-VC42L-55"/>
    <x v="1"/>
    <n v="775"/>
    <n v="26"/>
    <n v="20150"/>
    <n v="123456789"/>
    <s v="Mumbai"/>
  </r>
  <r>
    <x v="536"/>
    <s v="INV-2406-537"/>
    <n v="123457325"/>
    <s v="ED-IND-PW48R-65"/>
    <x v="0"/>
    <n v="575"/>
    <n v="25"/>
    <n v="14375"/>
    <n v="123456789"/>
    <s v="Mumbai"/>
  </r>
  <r>
    <x v="537"/>
    <s v="INV-2406-538"/>
    <n v="123457326"/>
    <s v="ED-IND-VK60I-85"/>
    <x v="0"/>
    <n v="545"/>
    <n v="29"/>
    <n v="15805"/>
    <n v="123456789"/>
    <s v="Pune"/>
  </r>
  <r>
    <x v="538"/>
    <s v="INV-2406-539"/>
    <n v="123457327"/>
    <s v="ED-IND-GL58S-10"/>
    <x v="0"/>
    <n v="831"/>
    <n v="24"/>
    <n v="19944"/>
    <n v="123456789"/>
    <s v="Pune"/>
  </r>
  <r>
    <x v="539"/>
    <s v="INV-2406-540"/>
    <n v="123457328"/>
    <s v="PC-IND-SV55R-71"/>
    <x v="1"/>
    <n v="845"/>
    <n v="22"/>
    <n v="18590"/>
    <n v="123456789"/>
    <s v="Pune"/>
  </r>
  <r>
    <x v="540"/>
    <s v="INV-2406-541"/>
    <n v="123457329"/>
    <s v="ED-IND-PO91J-23"/>
    <x v="0"/>
    <n v="978"/>
    <n v="28"/>
    <n v="27384"/>
    <n v="123456789"/>
    <s v="Pune"/>
  </r>
  <r>
    <x v="541"/>
    <s v="INV-2406-542"/>
    <n v="123457330"/>
    <s v="ED-IND-VZ90N-04"/>
    <x v="0"/>
    <n v="841"/>
    <n v="22"/>
    <n v="18502"/>
    <n v="123456789"/>
    <s v="Pune"/>
  </r>
  <r>
    <x v="542"/>
    <s v="INV-2406-543"/>
    <n v="123457331"/>
    <s v="ED-IND-UY21U-21"/>
    <x v="0"/>
    <n v="573"/>
    <n v="29"/>
    <n v="16617"/>
    <n v="123456789"/>
    <s v="Pune"/>
  </r>
  <r>
    <x v="543"/>
    <s v="INV-2406-544"/>
    <n v="123457332"/>
    <s v="ED-IND-IB11L-91"/>
    <x v="0"/>
    <n v="780"/>
    <n v="23"/>
    <n v="17940"/>
    <n v="123456789"/>
    <s v="Pune"/>
  </r>
  <r>
    <x v="544"/>
    <s v="INV-2407-545"/>
    <n v="123457333"/>
    <s v="ED-IND-VH74L-41"/>
    <x v="0"/>
    <n v="884"/>
    <n v="26"/>
    <n v="22984"/>
    <n v="123456789"/>
    <s v="Pune"/>
  </r>
  <r>
    <x v="545"/>
    <s v="INV-2407-546"/>
    <n v="123457334"/>
    <s v="ED-IND-NU78J-02"/>
    <x v="0"/>
    <n v="664"/>
    <n v="23"/>
    <n v="15272"/>
    <n v="123456789"/>
    <s v="Mumbai"/>
  </r>
  <r>
    <x v="546"/>
    <s v="INV-2407-547"/>
    <n v="123457335"/>
    <s v="PC-IND-OX23H-48"/>
    <x v="1"/>
    <n v="777"/>
    <n v="23"/>
    <n v="17871"/>
    <n v="123456789"/>
    <s v="Pune"/>
  </r>
  <r>
    <x v="547"/>
    <s v="INV-2407-548"/>
    <n v="123457336"/>
    <s v="ED-IND-RD37Q-97"/>
    <x v="0"/>
    <n v="627"/>
    <n v="25"/>
    <n v="15675"/>
    <n v="123456789"/>
    <s v="Pune"/>
  </r>
  <r>
    <x v="548"/>
    <s v="INV-2407-549"/>
    <n v="123457337"/>
    <s v="ED-IND-KE92Q-83"/>
    <x v="0"/>
    <n v="633"/>
    <n v="23"/>
    <n v="14559"/>
    <n v="123456789"/>
    <s v="Mumbai"/>
  </r>
  <r>
    <x v="549"/>
    <s v="INV-2407-550"/>
    <n v="123457338"/>
    <s v="ED-IND-GQ86P-32"/>
    <x v="0"/>
    <n v="594"/>
    <n v="25"/>
    <n v="14850"/>
    <n v="123456789"/>
    <s v="Mumbai"/>
  </r>
  <r>
    <x v="550"/>
    <s v="INV-2407-551"/>
    <n v="123457339"/>
    <s v="ED-IND-BY80C-50"/>
    <x v="0"/>
    <n v="863"/>
    <n v="22"/>
    <n v="18986"/>
    <n v="123456789"/>
    <s v="Pune"/>
  </r>
  <r>
    <x v="551"/>
    <s v="INV-2407-552"/>
    <n v="123457340"/>
    <s v="PC-IND-UC73T-67"/>
    <x v="1"/>
    <n v="866"/>
    <n v="29"/>
    <n v="25114"/>
    <n v="123456789"/>
    <s v="Pune"/>
  </r>
  <r>
    <x v="552"/>
    <s v="INV-2407-553"/>
    <n v="123457341"/>
    <s v="ED-IND-RH29R-12"/>
    <x v="0"/>
    <n v="727"/>
    <n v="21"/>
    <n v="15267"/>
    <n v="123456789"/>
    <s v="Mumbai"/>
  </r>
  <r>
    <x v="553"/>
    <s v="INV-2407-554"/>
    <n v="123457342"/>
    <s v="ED-IND-YX84U-89"/>
    <x v="0"/>
    <n v="946"/>
    <n v="24"/>
    <n v="22704"/>
    <n v="123456789"/>
    <s v="Pune"/>
  </r>
  <r>
    <x v="554"/>
    <s v="INV-2407-555"/>
    <n v="123457343"/>
    <s v="PC-IND-EU86S-92"/>
    <x v="1"/>
    <n v="643"/>
    <n v="29"/>
    <n v="18647"/>
    <n v="123456789"/>
    <s v="Pune"/>
  </r>
  <r>
    <x v="555"/>
    <s v="INV-2407-556"/>
    <n v="123457344"/>
    <s v="ED-IND-ZL96L-51"/>
    <x v="0"/>
    <n v="891"/>
    <n v="22"/>
    <n v="19602"/>
    <n v="123456789"/>
    <s v="Pune"/>
  </r>
  <r>
    <x v="556"/>
    <s v="INV-2407-557"/>
    <n v="123457345"/>
    <s v="ED-IND-ND70C-51"/>
    <x v="0"/>
    <n v="572"/>
    <n v="25"/>
    <n v="14300"/>
    <n v="123456789"/>
    <s v="Pune"/>
  </r>
  <r>
    <x v="557"/>
    <s v="INV-2407-558"/>
    <n v="123457346"/>
    <s v="ED-IND-SY16N-84"/>
    <x v="0"/>
    <n v="515"/>
    <n v="30"/>
    <n v="15450"/>
    <n v="123456789"/>
    <s v="Pune"/>
  </r>
  <r>
    <x v="558"/>
    <s v="INV-2407-559"/>
    <n v="123457347"/>
    <s v="ED-IND-IT55K-69"/>
    <x v="0"/>
    <n v="760"/>
    <n v="28"/>
    <n v="21280"/>
    <n v="123456789"/>
    <s v="Pune"/>
  </r>
  <r>
    <x v="559"/>
    <s v="INV-2407-560"/>
    <n v="123457348"/>
    <s v="ED-IND-QK35T-01"/>
    <x v="0"/>
    <n v="828"/>
    <n v="25"/>
    <n v="20700"/>
    <n v="123456789"/>
    <s v="Pune"/>
  </r>
  <r>
    <x v="560"/>
    <s v="INV-2407-561"/>
    <n v="123457349"/>
    <s v="ED-IND-AE99B-20"/>
    <x v="0"/>
    <n v="612"/>
    <n v="21"/>
    <n v="12852"/>
    <n v="123456789"/>
    <s v="Pune"/>
  </r>
  <r>
    <x v="561"/>
    <s v="INV-2407-562"/>
    <n v="123457350"/>
    <s v="ED-IND-KC13P-47"/>
    <x v="0"/>
    <n v="934"/>
    <n v="26"/>
    <n v="24284"/>
    <n v="123456789"/>
    <s v="Pune"/>
  </r>
  <r>
    <x v="562"/>
    <s v="INV-2407-563"/>
    <n v="123457351"/>
    <s v="PC-IND-TK58D-94"/>
    <x v="1"/>
    <n v="788"/>
    <n v="21"/>
    <n v="16548"/>
    <n v="123456789"/>
    <s v="Pune"/>
  </r>
  <r>
    <x v="563"/>
    <s v="INV-2407-564"/>
    <n v="123457352"/>
    <s v="ED-IND-GX50P-50"/>
    <x v="0"/>
    <n v="686"/>
    <n v="26"/>
    <n v="17836"/>
    <n v="123456789"/>
    <s v="Mumbai"/>
  </r>
  <r>
    <x v="564"/>
    <s v="INV-2407-565"/>
    <n v="123457353"/>
    <s v="PC-IND-EA78R-70"/>
    <x v="1"/>
    <n v="704"/>
    <n v="22"/>
    <n v="15488"/>
    <n v="123456789"/>
    <s v="Pune"/>
  </r>
  <r>
    <x v="565"/>
    <s v="INV-2407-566"/>
    <n v="123457354"/>
    <s v="ED-IND-HI43J-06"/>
    <x v="0"/>
    <n v="966"/>
    <n v="31"/>
    <n v="29946"/>
    <n v="123456789"/>
    <s v="Pune"/>
  </r>
  <r>
    <x v="566"/>
    <s v="INV-2407-567"/>
    <n v="123457355"/>
    <s v="ED-IND-PA96Q-92"/>
    <x v="0"/>
    <n v="986"/>
    <n v="26"/>
    <n v="25636"/>
    <n v="123456789"/>
    <s v="Pune"/>
  </r>
  <r>
    <x v="567"/>
    <s v="INV-2407-568"/>
    <n v="123457356"/>
    <s v="ED-IND-JE24H-10"/>
    <x v="0"/>
    <n v="794"/>
    <n v="26"/>
    <n v="20644"/>
    <n v="123456789"/>
    <s v="Pune"/>
  </r>
  <r>
    <x v="568"/>
    <s v="INV-2407-569"/>
    <n v="123457357"/>
    <s v="ED-IND-PV79R-29"/>
    <x v="0"/>
    <n v="686"/>
    <n v="21"/>
    <n v="14406"/>
    <n v="123456789"/>
    <s v="Pune"/>
  </r>
  <r>
    <x v="569"/>
    <s v="INV-2407-570"/>
    <n v="123457358"/>
    <s v="ED-IND-EX27F-80"/>
    <x v="0"/>
    <n v="966"/>
    <n v="31"/>
    <n v="29946"/>
    <n v="123456789"/>
    <s v="Pune"/>
  </r>
  <r>
    <x v="570"/>
    <s v="INV-2407-571"/>
    <n v="123457359"/>
    <s v="ED-IND-YN48Z-77"/>
    <x v="0"/>
    <n v="874"/>
    <n v="29"/>
    <n v="25346"/>
    <n v="123456789"/>
    <s v="Pune"/>
  </r>
  <r>
    <x v="571"/>
    <s v="INV-2407-572"/>
    <n v="123457360"/>
    <s v="ED-IND-IP79W-78"/>
    <x v="0"/>
    <n v="981"/>
    <n v="26"/>
    <n v="25506"/>
    <n v="123456789"/>
    <s v="Pune"/>
  </r>
  <r>
    <x v="572"/>
    <s v="INV-2407-573"/>
    <n v="123457361"/>
    <s v="ED-IND-MT12G-70"/>
    <x v="0"/>
    <n v="581"/>
    <n v="24"/>
    <n v="13944"/>
    <n v="123456789"/>
    <s v="Mumbai"/>
  </r>
  <r>
    <x v="573"/>
    <s v="INV-2407-574"/>
    <n v="123457362"/>
    <s v="ED-IND-QL97P-72"/>
    <x v="0"/>
    <n v="696"/>
    <n v="25"/>
    <n v="17400"/>
    <n v="123456789"/>
    <s v="Pune"/>
  </r>
  <r>
    <x v="574"/>
    <s v="INV-2407-575"/>
    <n v="123457363"/>
    <s v="ED-IND-PH81X-36"/>
    <x v="0"/>
    <n v="511"/>
    <n v="21"/>
    <n v="10731"/>
    <n v="123456789"/>
    <s v="Pune"/>
  </r>
  <r>
    <x v="575"/>
    <s v="INV-2408-576"/>
    <n v="123457364"/>
    <s v="PC-IND-MN14I-06"/>
    <x v="1"/>
    <n v="656"/>
    <n v="26"/>
    <n v="17056"/>
    <n v="123456789"/>
    <s v="Mumbai"/>
  </r>
  <r>
    <x v="576"/>
    <s v="INV-2408-577"/>
    <n v="123457365"/>
    <s v="ED-IND-KG59K-65"/>
    <x v="0"/>
    <n v="968"/>
    <n v="28"/>
    <n v="27104"/>
    <n v="123456789"/>
    <s v="Pune"/>
  </r>
  <r>
    <x v="577"/>
    <s v="INV-2408-578"/>
    <n v="123457366"/>
    <s v="ED-IND-DW92G-51"/>
    <x v="0"/>
    <n v="921"/>
    <n v="29"/>
    <n v="26709"/>
    <n v="123456789"/>
    <s v="Pune"/>
  </r>
  <r>
    <x v="578"/>
    <s v="INV-2408-579"/>
    <n v="123457367"/>
    <s v="ED-IND-WY46Q-51"/>
    <x v="0"/>
    <n v="805"/>
    <n v="31"/>
    <n v="24955"/>
    <n v="123456789"/>
    <s v="Pune"/>
  </r>
  <r>
    <x v="579"/>
    <s v="INV-2408-580"/>
    <n v="123457368"/>
    <s v="ED-IND-BN25J-43"/>
    <x v="0"/>
    <n v="536"/>
    <n v="21"/>
    <n v="11256"/>
    <n v="123456789"/>
    <s v="Pune"/>
  </r>
  <r>
    <x v="580"/>
    <s v="INV-2408-581"/>
    <n v="123457369"/>
    <s v="PC-IND-CB52L-67"/>
    <x v="1"/>
    <n v="973"/>
    <n v="24"/>
    <n v="23352"/>
    <n v="123456789"/>
    <s v="Pune"/>
  </r>
  <r>
    <x v="581"/>
    <s v="INV-2408-582"/>
    <n v="123457370"/>
    <s v="PC-IND-NN66A-23"/>
    <x v="1"/>
    <n v="666"/>
    <n v="24"/>
    <n v="15984"/>
    <n v="123456789"/>
    <s v="Pune"/>
  </r>
  <r>
    <x v="582"/>
    <s v="INV-2408-583"/>
    <n v="123457371"/>
    <s v="PC-IND-OO59V-83"/>
    <x v="1"/>
    <n v="976"/>
    <n v="25"/>
    <n v="24400"/>
    <n v="123456789"/>
    <s v="Pune"/>
  </r>
  <r>
    <x v="583"/>
    <s v="INV-2408-584"/>
    <n v="123457372"/>
    <s v="PC-IND-PS62Q-26"/>
    <x v="1"/>
    <n v="707"/>
    <n v="23"/>
    <n v="16261"/>
    <n v="123456789"/>
    <s v="Mumbai"/>
  </r>
  <r>
    <x v="584"/>
    <s v="INV-2408-585"/>
    <n v="123457373"/>
    <s v="PC-IND-SK46J-62"/>
    <x v="1"/>
    <n v="728"/>
    <n v="22"/>
    <n v="16016"/>
    <n v="123456789"/>
    <s v="Mumbai"/>
  </r>
  <r>
    <x v="585"/>
    <s v="INV-2408-586"/>
    <n v="123457374"/>
    <s v="ED-IND-II97H-03"/>
    <x v="0"/>
    <n v="816"/>
    <n v="21"/>
    <n v="17136"/>
    <n v="123456789"/>
    <s v="Pune"/>
  </r>
  <r>
    <x v="586"/>
    <s v="INV-2408-587"/>
    <n v="123457375"/>
    <s v="ED-IND-GH64A-63"/>
    <x v="0"/>
    <n v="617"/>
    <n v="23"/>
    <n v="14191"/>
    <n v="123456789"/>
    <s v="Pune"/>
  </r>
  <r>
    <x v="587"/>
    <s v="INV-2408-588"/>
    <n v="123457376"/>
    <s v="PC-IND-EU99Q-72"/>
    <x v="1"/>
    <n v="585"/>
    <n v="23"/>
    <n v="13455"/>
    <n v="123456789"/>
    <s v="Pune"/>
  </r>
  <r>
    <x v="588"/>
    <s v="INV-2408-589"/>
    <n v="123457377"/>
    <s v="PC-IND-YU62O-09"/>
    <x v="1"/>
    <n v="695"/>
    <n v="26"/>
    <n v="18070"/>
    <n v="123456789"/>
    <s v="Pune"/>
  </r>
  <r>
    <x v="589"/>
    <s v="INV-2408-590"/>
    <n v="123457378"/>
    <s v="ED-IND-LM39V-60"/>
    <x v="0"/>
    <n v="806"/>
    <n v="29"/>
    <n v="23374"/>
    <n v="123456789"/>
    <s v="Pune"/>
  </r>
  <r>
    <x v="590"/>
    <s v="INV-2408-591"/>
    <n v="123457379"/>
    <s v="PC-IND-CL95J-29"/>
    <x v="1"/>
    <n v="747"/>
    <n v="24"/>
    <n v="17928"/>
    <n v="123456789"/>
    <s v="Pune"/>
  </r>
  <r>
    <x v="591"/>
    <s v="INV-2408-592"/>
    <n v="123457380"/>
    <s v="ED-IND-TB76X-95"/>
    <x v="0"/>
    <n v="754"/>
    <n v="27"/>
    <n v="20358"/>
    <n v="123456789"/>
    <s v="Pune"/>
  </r>
  <r>
    <x v="592"/>
    <s v="INV-2408-593"/>
    <n v="123457381"/>
    <s v="ED-IND-WJ69G-20"/>
    <x v="0"/>
    <n v="574"/>
    <n v="30"/>
    <n v="17220"/>
    <n v="123456789"/>
    <s v="Pune"/>
  </r>
  <r>
    <x v="593"/>
    <s v="INV-2408-594"/>
    <n v="123457382"/>
    <s v="ED-IND-HM84S-97"/>
    <x v="0"/>
    <n v="846"/>
    <n v="26"/>
    <n v="21996"/>
    <n v="123456789"/>
    <s v="Mumbai"/>
  </r>
  <r>
    <x v="594"/>
    <s v="INV-2408-595"/>
    <n v="123457383"/>
    <s v="PC-IND-MY67R-81"/>
    <x v="1"/>
    <n v="987"/>
    <n v="24"/>
    <n v="23688"/>
    <n v="123456789"/>
    <s v="Pune"/>
  </r>
  <r>
    <x v="595"/>
    <s v="INV-2408-596"/>
    <n v="123457384"/>
    <s v="ED-IND-RQ49R-24"/>
    <x v="0"/>
    <n v="926"/>
    <n v="26"/>
    <n v="24076"/>
    <n v="123456789"/>
    <s v="Pune"/>
  </r>
  <r>
    <x v="596"/>
    <s v="INV-2408-597"/>
    <n v="123457385"/>
    <s v="ED-IND-SQ94S-27"/>
    <x v="0"/>
    <n v="815"/>
    <n v="31"/>
    <n v="25265"/>
    <n v="123456789"/>
    <s v="Pune"/>
  </r>
  <r>
    <x v="597"/>
    <s v="INV-2408-598"/>
    <n v="123457386"/>
    <s v="ED-IND-LK96P-42"/>
    <x v="0"/>
    <n v="773"/>
    <n v="26"/>
    <n v="20098"/>
    <n v="123456789"/>
    <s v="Pune"/>
  </r>
  <r>
    <x v="598"/>
    <s v="INV-2408-599"/>
    <n v="123457387"/>
    <s v="ED-IND-HA85Q-96"/>
    <x v="0"/>
    <n v="964"/>
    <n v="24"/>
    <n v="23136"/>
    <n v="123456789"/>
    <s v="Pune"/>
  </r>
  <r>
    <x v="599"/>
    <s v="INV-2408-600"/>
    <n v="123457388"/>
    <s v="ED-IND-PW18T-40"/>
    <x v="0"/>
    <n v="274"/>
    <n v="25"/>
    <n v="6850"/>
    <n v="123456789"/>
    <s v="Pune"/>
  </r>
  <r>
    <x v="600"/>
    <s v="INV-2408-601"/>
    <n v="123457389"/>
    <s v="ED-IND-MC93X-99"/>
    <x v="0"/>
    <n v="297"/>
    <n v="24"/>
    <n v="7128"/>
    <n v="123456789"/>
    <s v="Mumbai"/>
  </r>
  <r>
    <x v="601"/>
    <s v="INV-2408-602"/>
    <n v="123457390"/>
    <s v="ED-IND-VS31L-06"/>
    <x v="0"/>
    <n v="294"/>
    <n v="28"/>
    <n v="8232"/>
    <n v="123456789"/>
    <s v="Pune"/>
  </r>
  <r>
    <x v="602"/>
    <s v="INV-2408-603"/>
    <n v="123457391"/>
    <s v="ED-IND-PT75M-95"/>
    <x v="0"/>
    <n v="250"/>
    <n v="26"/>
    <n v="6500"/>
    <n v="123456789"/>
    <s v="Pune"/>
  </r>
  <r>
    <x v="603"/>
    <s v="INV-2408-604"/>
    <n v="123457392"/>
    <s v="ED-IND-WM57Z-71"/>
    <x v="0"/>
    <n v="255"/>
    <n v="31"/>
    <n v="7905"/>
    <n v="123456789"/>
    <s v="Mumbai"/>
  </r>
  <r>
    <x v="604"/>
    <s v="INV-2408-605"/>
    <n v="123457393"/>
    <s v="ED-IND-CV14N-65"/>
    <x v="0"/>
    <n v="251"/>
    <n v="29"/>
    <n v="7279"/>
    <n v="123456789"/>
    <s v="Pune"/>
  </r>
  <r>
    <x v="605"/>
    <s v="INV-2408-606"/>
    <n v="123457394"/>
    <s v="ED-IND-LS37W-58"/>
    <x v="0"/>
    <n v="293"/>
    <n v="22"/>
    <n v="6446"/>
    <n v="123456789"/>
    <s v="Pune"/>
  </r>
  <r>
    <x v="606"/>
    <s v="INV-2409-607"/>
    <n v="123457395"/>
    <s v="ED-IND-UL37A-04"/>
    <x v="0"/>
    <n v="232"/>
    <n v="23"/>
    <n v="5336"/>
    <n v="123456789"/>
    <s v="Pune"/>
  </r>
  <r>
    <x v="607"/>
    <s v="INV-2409-608"/>
    <n v="123457396"/>
    <s v="ED-IND-GM57B-59"/>
    <x v="0"/>
    <n v="231"/>
    <n v="27"/>
    <n v="6237"/>
    <n v="123456789"/>
    <s v="Mumbai"/>
  </r>
  <r>
    <x v="608"/>
    <s v="INV-2409-609"/>
    <n v="123457397"/>
    <s v="PC-IND-ZX23K-36"/>
    <x v="1"/>
    <n v="218"/>
    <n v="21"/>
    <n v="4578"/>
    <n v="123456789"/>
    <s v="Mumbai"/>
  </r>
  <r>
    <x v="609"/>
    <s v="INV-2409-610"/>
    <n v="123457398"/>
    <s v="ED-IND-MB17B-64"/>
    <x v="0"/>
    <n v="277"/>
    <n v="22"/>
    <n v="6094"/>
    <n v="123456789"/>
    <s v="Pune"/>
  </r>
  <r>
    <x v="610"/>
    <s v="INV-2409-611"/>
    <n v="123457399"/>
    <s v="ED-IND-RK23Y-14"/>
    <x v="0"/>
    <n v="234"/>
    <n v="27"/>
    <n v="6318"/>
    <n v="123456789"/>
    <s v="Pune"/>
  </r>
  <r>
    <x v="611"/>
    <s v="INV-2409-612"/>
    <n v="123457400"/>
    <s v="ED-IND-DD43X-04"/>
    <x v="0"/>
    <n v="231"/>
    <n v="28"/>
    <n v="6468"/>
    <n v="123456789"/>
    <s v="Pune"/>
  </r>
  <r>
    <x v="612"/>
    <s v="INV-2409-613"/>
    <n v="123457401"/>
    <s v="ED-IND-FX48W-87"/>
    <x v="0"/>
    <n v="202"/>
    <n v="25"/>
    <n v="5050"/>
    <n v="123456789"/>
    <s v="Pune"/>
  </r>
  <r>
    <x v="613"/>
    <s v="INV-2409-614"/>
    <n v="123457402"/>
    <s v="ED-IND-MU63M-58"/>
    <x v="0"/>
    <n v="227"/>
    <n v="24"/>
    <n v="5448"/>
    <n v="123456789"/>
    <s v="Pune"/>
  </r>
  <r>
    <x v="614"/>
    <s v="INV-2409-615"/>
    <n v="123457403"/>
    <s v="ED-IND-BQ98Y-22"/>
    <x v="0"/>
    <n v="269"/>
    <n v="22"/>
    <n v="5918"/>
    <n v="123456789"/>
    <s v="Mumbai"/>
  </r>
  <r>
    <x v="615"/>
    <s v="INV-2409-616"/>
    <n v="123457404"/>
    <s v="ED-IND-TM48M-05"/>
    <x v="0"/>
    <n v="212"/>
    <n v="27"/>
    <n v="5724"/>
    <n v="123456789"/>
    <s v="Pune"/>
  </r>
  <r>
    <x v="616"/>
    <s v="INV-2409-617"/>
    <n v="123457405"/>
    <s v="ED-IND-KT59V-85"/>
    <x v="0"/>
    <n v="239"/>
    <n v="30"/>
    <n v="7170"/>
    <n v="123456789"/>
    <s v="Pune"/>
  </r>
  <r>
    <x v="617"/>
    <s v="INV-2409-618"/>
    <n v="123457406"/>
    <s v="PC-IND-XZ66G-09"/>
    <x v="1"/>
    <n v="264"/>
    <n v="30"/>
    <n v="7920"/>
    <n v="123456789"/>
    <s v="Mumbai"/>
  </r>
  <r>
    <x v="618"/>
    <s v="INV-2409-619"/>
    <n v="123457407"/>
    <s v="ED-IND-YJ23T-65"/>
    <x v="0"/>
    <n v="286"/>
    <n v="26"/>
    <n v="7436"/>
    <n v="123456789"/>
    <s v="Pune"/>
  </r>
  <r>
    <x v="619"/>
    <s v="INV-2409-620"/>
    <n v="123457408"/>
    <s v="ED-IND-WH81C-41"/>
    <x v="0"/>
    <n v="241"/>
    <n v="22"/>
    <n v="5302"/>
    <n v="123456789"/>
    <s v="Pune"/>
  </r>
  <r>
    <x v="620"/>
    <s v="INV-2409-621"/>
    <n v="123457409"/>
    <s v="ED-IND-AJ42M-80"/>
    <x v="0"/>
    <n v="293"/>
    <n v="23"/>
    <n v="6739"/>
    <n v="123456789"/>
    <s v="Pune"/>
  </r>
  <r>
    <x v="621"/>
    <s v="INV-2409-622"/>
    <n v="123457410"/>
    <s v="ED-IND-GE56I-06"/>
    <x v="0"/>
    <n v="237"/>
    <n v="27"/>
    <n v="6399"/>
    <n v="123456789"/>
    <s v="Mumbai"/>
  </r>
  <r>
    <x v="622"/>
    <s v="INV-2409-623"/>
    <n v="123457411"/>
    <s v="PC-IND-XB66C-99"/>
    <x v="1"/>
    <n v="204"/>
    <n v="21"/>
    <n v="4284"/>
    <n v="123456789"/>
    <s v="Mumbai"/>
  </r>
  <r>
    <x v="623"/>
    <s v="INV-2409-624"/>
    <n v="123457412"/>
    <s v="ED-IND-KB56F-19"/>
    <x v="0"/>
    <n v="285"/>
    <n v="29"/>
    <n v="8265"/>
    <n v="123456789"/>
    <s v="Pune"/>
  </r>
  <r>
    <x v="624"/>
    <s v="INV-2409-625"/>
    <n v="123457413"/>
    <s v="ED-IND-BJ51E-40"/>
    <x v="0"/>
    <n v="247"/>
    <n v="24"/>
    <n v="5928"/>
    <n v="123456789"/>
    <s v="Pune"/>
  </r>
  <r>
    <x v="625"/>
    <s v="INV-2409-626"/>
    <n v="123457414"/>
    <s v="ED-IND-ZC49N-93"/>
    <x v="0"/>
    <n v="227"/>
    <n v="22"/>
    <n v="4994"/>
    <n v="123456789"/>
    <s v="Pune"/>
  </r>
  <r>
    <x v="626"/>
    <s v="INV-2409-627"/>
    <n v="123457415"/>
    <s v="ED-IND-VC88Q-36"/>
    <x v="0"/>
    <n v="266"/>
    <n v="24"/>
    <n v="6384"/>
    <n v="123456789"/>
    <s v="Pune"/>
  </r>
  <r>
    <x v="627"/>
    <s v="INV-2409-628"/>
    <n v="123457416"/>
    <s v="PC-IND-AB58U-04"/>
    <x v="1"/>
    <n v="296"/>
    <n v="22"/>
    <n v="6512"/>
    <n v="123456789"/>
    <s v="Mumbai"/>
  </r>
  <r>
    <x v="628"/>
    <s v="INV-2409-629"/>
    <n v="123457417"/>
    <s v="ED-IND-JJ51X-25"/>
    <x v="0"/>
    <n v="222"/>
    <n v="24"/>
    <n v="5328"/>
    <n v="123456789"/>
    <s v="Pune"/>
  </r>
  <r>
    <x v="629"/>
    <s v="INV-2409-630"/>
    <n v="123457418"/>
    <s v="ED-IND-FV97V-50"/>
    <x v="0"/>
    <n v="234"/>
    <n v="23"/>
    <n v="5382"/>
    <n v="123456789"/>
    <s v="Pune"/>
  </r>
  <r>
    <x v="630"/>
    <s v="INV-2409-631"/>
    <n v="123457419"/>
    <s v="ED-IND-HG10P-10"/>
    <x v="0"/>
    <n v="261"/>
    <n v="26"/>
    <n v="6786"/>
    <n v="123456789"/>
    <s v="Pune"/>
  </r>
  <r>
    <x v="631"/>
    <s v="INV-2409-632"/>
    <n v="123457420"/>
    <s v="ED-IND-GN25E-46"/>
    <x v="0"/>
    <n v="290"/>
    <n v="25"/>
    <n v="7250"/>
    <n v="123456789"/>
    <s v="Pune"/>
  </r>
  <r>
    <x v="632"/>
    <s v="INV-2409-633"/>
    <n v="123457421"/>
    <s v="PC-IND-MP19Z-95"/>
    <x v="1"/>
    <n v="202"/>
    <n v="31"/>
    <n v="6262"/>
    <n v="123456789"/>
    <s v="Pune"/>
  </r>
  <r>
    <x v="633"/>
    <s v="INV-2409-634"/>
    <n v="123457422"/>
    <s v="ED-IND-IL14I-15"/>
    <x v="0"/>
    <n v="272"/>
    <n v="22"/>
    <n v="5984"/>
    <n v="123456789"/>
    <s v="Mumbai"/>
  </r>
  <r>
    <x v="634"/>
    <s v="INV-2409-635"/>
    <n v="123457423"/>
    <s v="ED-IND-KM89P-01"/>
    <x v="0"/>
    <n v="244"/>
    <n v="23"/>
    <n v="5612"/>
    <n v="123456789"/>
    <s v="Pune"/>
  </r>
  <r>
    <x v="635"/>
    <s v="INV-2409-636"/>
    <n v="123457424"/>
    <s v="ED-IND-HP33G-24"/>
    <x v="0"/>
    <n v="275"/>
    <n v="28"/>
    <n v="7700"/>
    <n v="123456789"/>
    <s v="Pune"/>
  </r>
  <r>
    <x v="636"/>
    <s v="INV-2410-637"/>
    <n v="123457425"/>
    <s v="ED-IND-ZF18V-17"/>
    <x v="0"/>
    <n v="226"/>
    <n v="25"/>
    <n v="5650"/>
    <n v="123456789"/>
    <s v="Pune"/>
  </r>
  <r>
    <x v="637"/>
    <s v="INV-2410-638"/>
    <n v="123457426"/>
    <s v="ED-IND-OZ76J-01"/>
    <x v="0"/>
    <n v="306"/>
    <n v="31"/>
    <n v="8711"/>
    <n v="123456789"/>
    <s v="Pune"/>
  </r>
  <r>
    <x v="638"/>
    <s v="INV-2410-639"/>
    <n v="123457427"/>
    <s v="PC-IND-ZH64L-21"/>
    <x v="1"/>
    <n v="447"/>
    <n v="26"/>
    <n v="9360"/>
    <n v="123456789"/>
    <s v="Pune"/>
  </r>
  <r>
    <x v="639"/>
    <s v="INV-2410-640"/>
    <n v="123457428"/>
    <s v="ED-IND-XF13Q-10"/>
    <x v="0"/>
    <n v="272"/>
    <n v="30"/>
    <n v="9120"/>
    <n v="123456789"/>
    <s v="Pune"/>
  </r>
  <r>
    <x v="640"/>
    <s v="INV-2410-641"/>
    <n v="123457429"/>
    <s v="ED-IND-BM20C-78"/>
    <x v="0"/>
    <n v="312"/>
    <n v="30"/>
    <n v="7800"/>
    <n v="123456789"/>
    <s v="Pune"/>
  </r>
  <r>
    <x v="641"/>
    <s v="INV-2410-642"/>
    <n v="123457430"/>
    <s v="PC-IND-EP27E-20"/>
    <x v="1"/>
    <n v="315"/>
    <n v="28"/>
    <n v="8960"/>
    <n v="123456789"/>
    <s v="Pune"/>
  </r>
  <r>
    <x v="642"/>
    <s v="INV-2410-643"/>
    <n v="123457431"/>
    <s v="ED-IND-FV18L-32"/>
    <x v="0"/>
    <n v="317"/>
    <n v="26"/>
    <n v="11258"/>
    <n v="123456789"/>
    <s v="Pune"/>
  </r>
  <r>
    <x v="643"/>
    <s v="INV-2410-644"/>
    <n v="123457432"/>
    <s v="PC-IND-IC10Z-85"/>
    <x v="1"/>
    <n v="300"/>
    <n v="28"/>
    <n v="12908"/>
    <n v="123456789"/>
    <s v="Pune"/>
  </r>
  <r>
    <x v="644"/>
    <s v="INV-2410-645"/>
    <n v="123457433"/>
    <s v="ED-IND-ZK46V-70"/>
    <x v="0"/>
    <n v="329"/>
    <n v="31"/>
    <n v="8463"/>
    <n v="123456789"/>
    <s v="Pune"/>
  </r>
  <r>
    <x v="645"/>
    <s v="INV-2410-646"/>
    <n v="123457434"/>
    <s v="ED-IND-LB73Y-47"/>
    <x v="0"/>
    <n v="313"/>
    <n v="21"/>
    <n v="10122"/>
    <n v="123456789"/>
    <s v="Pune"/>
  </r>
  <r>
    <x v="646"/>
    <s v="INV-2410-647"/>
    <n v="123457435"/>
    <s v="PC-IND-ZZ90Z-21"/>
    <x v="1"/>
    <n v="407"/>
    <n v="21"/>
    <n v="10101"/>
    <n v="123456789"/>
    <s v="Mumbai"/>
  </r>
  <r>
    <x v="647"/>
    <s v="INV-2410-648"/>
    <n v="123457436"/>
    <s v="ED-IND-YY93P-18"/>
    <x v="0"/>
    <n v="480"/>
    <n v="29"/>
    <n v="12905"/>
    <n v="123456789"/>
    <s v="Mumbai"/>
  </r>
  <r>
    <x v="648"/>
    <s v="INV-2410-649"/>
    <n v="123457437"/>
    <s v="ED-IND-RU51P-79"/>
    <x v="0"/>
    <n v="460"/>
    <n v="25"/>
    <n v="7950"/>
    <n v="123456789"/>
    <s v="Mumbai"/>
  </r>
  <r>
    <x v="649"/>
    <s v="INV-2410-650"/>
    <n v="123457438"/>
    <s v="ED-IND-SZ28G-71"/>
    <x v="0"/>
    <n v="313"/>
    <n v="28"/>
    <n v="13720"/>
    <n v="123456789"/>
    <s v="Pune"/>
  </r>
  <r>
    <x v="650"/>
    <s v="INV-2410-651"/>
    <n v="123457439"/>
    <s v="ED-IND-FZ14N-22"/>
    <x v="0"/>
    <n v="337"/>
    <n v="30"/>
    <n v="7530"/>
    <n v="123456789"/>
    <s v="Mumbai"/>
  </r>
  <r>
    <x v="651"/>
    <s v="INV-2410-652"/>
    <n v="123457440"/>
    <s v="PC-IND-IV53D-37"/>
    <x v="1"/>
    <n v="413"/>
    <n v="21"/>
    <n v="6510"/>
    <n v="123456789"/>
    <s v="Pune"/>
  </r>
  <r>
    <x v="652"/>
    <s v="INV-2410-653"/>
    <n v="123457441"/>
    <s v="PC-IND-WX72Z-42"/>
    <x v="1"/>
    <n v="348"/>
    <n v="31"/>
    <n v="15748"/>
    <n v="123456789"/>
    <s v="Pune"/>
  </r>
  <r>
    <x v="653"/>
    <s v="INV-2410-654"/>
    <n v="123457442"/>
    <s v="ED-IND-ZE20D-49"/>
    <x v="0"/>
    <n v="466"/>
    <n v="21"/>
    <n v="7644"/>
    <n v="123456789"/>
    <s v="Pune"/>
  </r>
  <r>
    <x v="654"/>
    <s v="INV-2410-655"/>
    <n v="123457443"/>
    <s v="ED-IND-NE66V-68"/>
    <x v="0"/>
    <n v="379"/>
    <n v="27"/>
    <n v="7830"/>
    <n v="123456789"/>
    <s v="Pune"/>
  </r>
  <r>
    <x v="655"/>
    <s v="INV-2410-656"/>
    <n v="123457444"/>
    <s v="PC-IND-VI92A-48"/>
    <x v="1"/>
    <n v="414"/>
    <n v="30"/>
    <n v="14040"/>
    <n v="123456789"/>
    <s v="Mumbai"/>
  </r>
  <r>
    <x v="656"/>
    <s v="INV-2410-657"/>
    <n v="123457445"/>
    <s v="PC-IND-FO11L-85"/>
    <x v="1"/>
    <n v="339"/>
    <n v="28"/>
    <n v="7812"/>
    <n v="123456789"/>
    <s v="Mumbai"/>
  </r>
  <r>
    <x v="657"/>
    <s v="INV-2410-658"/>
    <n v="123457446"/>
    <s v="PC-IND-HV89O-63"/>
    <x v="1"/>
    <n v="437"/>
    <n v="28"/>
    <n v="13300"/>
    <n v="123456789"/>
    <s v="Pune"/>
  </r>
  <r>
    <x v="658"/>
    <s v="INV-2410-659"/>
    <n v="123457447"/>
    <s v="PC-IND-QL67X-38"/>
    <x v="1"/>
    <n v="384"/>
    <n v="31"/>
    <n v="15500"/>
    <n v="123456789"/>
    <s v="Pune"/>
  </r>
  <r>
    <x v="659"/>
    <s v="INV-2410-660"/>
    <n v="123457448"/>
    <s v="PC-IND-YS75Q-06"/>
    <x v="1"/>
    <n v="341"/>
    <n v="27"/>
    <n v="7263"/>
    <n v="123456789"/>
    <s v="Pune"/>
  </r>
  <r>
    <x v="660"/>
    <s v="INV-2410-661"/>
    <n v="123457449"/>
    <s v="ED-IND-GU52F-58"/>
    <x v="0"/>
    <n v="302"/>
    <n v="27"/>
    <n v="7101"/>
    <n v="123456789"/>
    <s v="Pune"/>
  </r>
  <r>
    <x v="661"/>
    <s v="INV-2410-662"/>
    <n v="123457450"/>
    <s v="ED-IND-IK80Q-92"/>
    <x v="0"/>
    <n v="342"/>
    <n v="27"/>
    <n v="11799"/>
    <n v="123456789"/>
    <s v="Pune"/>
  </r>
  <r>
    <x v="662"/>
    <s v="INV-2410-663"/>
    <n v="123457451"/>
    <s v="PC-IND-ER87N-22"/>
    <x v="1"/>
    <n v="307"/>
    <n v="30"/>
    <n v="10230"/>
    <n v="123456789"/>
    <s v="Pune"/>
  </r>
  <r>
    <x v="663"/>
    <s v="INV-2410-664"/>
    <n v="123457452"/>
    <s v="ED-IND-JH60Z-43"/>
    <x v="0"/>
    <n v="378"/>
    <n v="28"/>
    <n v="7084"/>
    <n v="123456789"/>
    <s v="Pune"/>
  </r>
  <r>
    <x v="664"/>
    <s v="INV-2410-665"/>
    <n v="123457453"/>
    <s v="PC-IND-NQ81R-23"/>
    <x v="1"/>
    <n v="284"/>
    <n v="25"/>
    <n v="6350"/>
    <n v="123456789"/>
    <s v="Pune"/>
  </r>
  <r>
    <x v="665"/>
    <s v="INV-2410-666"/>
    <n v="123457454"/>
    <s v="ED-IND-CD47X-51"/>
    <x v="0"/>
    <n v="467"/>
    <n v="27"/>
    <n v="7101"/>
    <n v="123456789"/>
    <s v="Pune"/>
  </r>
  <r>
    <x v="666"/>
    <s v="INV-2410-667"/>
    <n v="123457455"/>
    <s v="ED-IND-QV43B-56"/>
    <x v="0"/>
    <n v="357"/>
    <n v="23"/>
    <n v="10672"/>
    <n v="123456789"/>
    <s v="Pune"/>
  </r>
  <r>
    <x v="667"/>
    <s v="INV-2411-668"/>
    <n v="123457456"/>
    <s v="ED-IND-ZW59A-38"/>
    <x v="0"/>
    <n v="412"/>
    <n v="23"/>
    <n v="6969"/>
    <n v="123456789"/>
    <s v="Pune"/>
  </r>
  <r>
    <x v="668"/>
    <s v="INV-2411-669"/>
    <n v="123457457"/>
    <s v="PC-IND-FT23W-60"/>
    <x v="1"/>
    <n v="301"/>
    <n v="22"/>
    <n v="8734"/>
    <n v="123456789"/>
    <s v="Pune"/>
  </r>
  <r>
    <x v="669"/>
    <s v="INV-2411-670"/>
    <n v="123457458"/>
    <s v="PC-IND-JP33W-48"/>
    <x v="1"/>
    <n v="329"/>
    <n v="29"/>
    <n v="14065"/>
    <n v="123456789"/>
    <s v="Pune"/>
  </r>
  <r>
    <x v="670"/>
    <s v="INV-2411-671"/>
    <n v="123457459"/>
    <s v="ED-IND-LQ22G-73"/>
    <x v="0"/>
    <n v="270"/>
    <n v="21"/>
    <n v="8526"/>
    <n v="123456789"/>
    <s v="Mumbai"/>
  </r>
  <r>
    <x v="671"/>
    <s v="INV-2411-672"/>
    <n v="123457460"/>
    <s v="PC-IND-TU59U-31"/>
    <x v="1"/>
    <n v="461"/>
    <n v="23"/>
    <n v="9591"/>
    <n v="123456789"/>
    <s v="Mumbai"/>
  </r>
  <r>
    <x v="672"/>
    <s v="INV-2411-673"/>
    <n v="123457461"/>
    <s v="ED-IND-AZ83R-22"/>
    <x v="0"/>
    <n v="413"/>
    <n v="23"/>
    <n v="10350"/>
    <n v="123456789"/>
    <s v="Mumbai"/>
  </r>
  <r>
    <x v="673"/>
    <s v="INV-2411-674"/>
    <n v="123457462"/>
    <s v="ED-IND-MG71J-48"/>
    <x v="0"/>
    <n v="326"/>
    <n v="23"/>
    <n v="10005"/>
    <n v="123456789"/>
    <s v="Mumbai"/>
  </r>
  <r>
    <x v="674"/>
    <s v="INV-2411-675"/>
    <n v="123457463"/>
    <s v="ED-IND-ER90R-48"/>
    <x v="0"/>
    <n v="415"/>
    <n v="31"/>
    <n v="11966"/>
    <n v="123456789"/>
    <s v="Mumbai"/>
  </r>
  <r>
    <x v="675"/>
    <s v="INV-2411-676"/>
    <n v="123457464"/>
    <s v="ED-IND-XH52P-23"/>
    <x v="0"/>
    <n v="398"/>
    <n v="30"/>
    <n v="14250"/>
    <n v="123456789"/>
    <s v="Pune"/>
  </r>
  <r>
    <x v="676"/>
    <s v="INV-2411-677"/>
    <n v="123457465"/>
    <s v="ED-IND-ZU66U-33"/>
    <x v="0"/>
    <n v="376"/>
    <n v="26"/>
    <n v="11232"/>
    <n v="123456789"/>
    <s v="Pune"/>
  </r>
  <r>
    <x v="677"/>
    <s v="INV-2411-678"/>
    <n v="123457466"/>
    <s v="ED-IND-WX73C-11"/>
    <x v="0"/>
    <n v="262"/>
    <n v="26"/>
    <n v="10140"/>
    <n v="123456789"/>
    <s v="Pune"/>
  </r>
  <r>
    <x v="678"/>
    <s v="INV-2411-679"/>
    <n v="123457467"/>
    <s v="PC-IND-HL93P-01"/>
    <x v="1"/>
    <n v="309"/>
    <n v="26"/>
    <n v="6526"/>
    <n v="123456789"/>
    <s v="Mumbai"/>
  </r>
  <r>
    <x v="679"/>
    <s v="INV-2411-680"/>
    <n v="123457468"/>
    <s v="ED-IND-LE66O-81"/>
    <x v="0"/>
    <n v="367"/>
    <n v="31"/>
    <n v="10106"/>
    <n v="123456789"/>
    <s v="Pune"/>
  </r>
  <r>
    <x v="680"/>
    <s v="INV-2411-681"/>
    <n v="123457469"/>
    <s v="ED-IND-TX94W-76"/>
    <x v="0"/>
    <n v="310"/>
    <n v="29"/>
    <n v="10324"/>
    <n v="123456789"/>
    <s v="Pune"/>
  </r>
  <r>
    <x v="681"/>
    <s v="INV-2411-682"/>
    <n v="123457470"/>
    <s v="ED-IND-DL55U-64"/>
    <x v="0"/>
    <n v="295"/>
    <n v="26"/>
    <n v="10868"/>
    <n v="123456789"/>
    <s v="Pune"/>
  </r>
  <r>
    <x v="682"/>
    <s v="INV-2411-683"/>
    <n v="123457471"/>
    <s v="ED-IND-PF60P-93"/>
    <x v="0"/>
    <n v="296"/>
    <n v="21"/>
    <n v="6636"/>
    <n v="123456789"/>
    <s v="Pune"/>
  </r>
  <r>
    <x v="683"/>
    <s v="INV-2411-684"/>
    <n v="123457472"/>
    <s v="ED-IND-XX54C-03"/>
    <x v="0"/>
    <n v="505"/>
    <n v="29"/>
    <n v="8033"/>
    <n v="123456789"/>
    <s v="Pune"/>
  </r>
  <r>
    <x v="684"/>
    <s v="INV-2411-685"/>
    <n v="123457473"/>
    <s v="ED-IND-TF27X-97"/>
    <x v="0"/>
    <n v="303"/>
    <n v="28"/>
    <n v="10500"/>
    <n v="123456789"/>
    <s v="Pune"/>
  </r>
  <r>
    <x v="685"/>
    <s v="INV-2411-686"/>
    <n v="123457474"/>
    <s v="ED-IND-AV90W-40"/>
    <x v="0"/>
    <n v="307"/>
    <n v="23"/>
    <n v="7889"/>
    <n v="123456789"/>
    <s v="Pune"/>
  </r>
  <r>
    <x v="686"/>
    <s v="INV-2411-687"/>
    <n v="123457475"/>
    <s v="ED-IND-DN87P-81"/>
    <x v="0"/>
    <n v="371"/>
    <n v="23"/>
    <n v="6049"/>
    <n v="123456789"/>
    <s v="Mumbai"/>
  </r>
  <r>
    <x v="687"/>
    <s v="INV-2411-688"/>
    <n v="123457476"/>
    <s v="ED-IND-PY71W-87"/>
    <x v="0"/>
    <n v="473"/>
    <n v="25"/>
    <n v="7975"/>
    <n v="123456789"/>
    <s v="Pune"/>
  </r>
  <r>
    <x v="688"/>
    <s v="INV-2411-689"/>
    <n v="123457477"/>
    <s v="ED-IND-AP71X-79"/>
    <x v="0"/>
    <n v="354"/>
    <n v="30"/>
    <n v="8460"/>
    <n v="123456789"/>
    <s v="Pune"/>
  </r>
  <r>
    <x v="689"/>
    <s v="INV-2411-690"/>
    <n v="123457478"/>
    <s v="ED-IND-GP88P-45"/>
    <x v="0"/>
    <n v="387"/>
    <n v="22"/>
    <n v="10406"/>
    <n v="123456789"/>
    <s v="Mumbai"/>
  </r>
  <r>
    <x v="690"/>
    <s v="INV-2411-691"/>
    <n v="123457479"/>
    <s v="PC-IND-HE71K-95"/>
    <x v="1"/>
    <n v="274"/>
    <n v="28"/>
    <n v="7672"/>
    <n v="123456789"/>
    <s v="Pune"/>
  </r>
  <r>
    <x v="691"/>
    <s v="INV-2411-692"/>
    <n v="123457480"/>
    <s v="PC-IND-FT52J-47"/>
    <x v="1"/>
    <n v="297"/>
    <n v="26"/>
    <n v="7722"/>
    <n v="123456789"/>
    <s v="Pune"/>
  </r>
  <r>
    <x v="692"/>
    <s v="INV-2411-693"/>
    <n v="123457481"/>
    <s v="ED-IND-QQ25V-20"/>
    <x v="0"/>
    <n v="294"/>
    <n v="28"/>
    <n v="8232"/>
    <n v="123456789"/>
    <s v="Mumbai"/>
  </r>
  <r>
    <x v="693"/>
    <s v="INV-2411-694"/>
    <n v="123457482"/>
    <s v="ED-IND-SN84C-96"/>
    <x v="0"/>
    <n v="250"/>
    <n v="25"/>
    <n v="6250"/>
    <n v="123456789"/>
    <s v="Pune"/>
  </r>
  <r>
    <x v="694"/>
    <s v="INV-2411-695"/>
    <n v="123457483"/>
    <s v="ED-IND-YT77I-52"/>
    <x v="0"/>
    <n v="255"/>
    <n v="28"/>
    <n v="7140"/>
    <n v="123456789"/>
    <s v="Pune"/>
  </r>
  <r>
    <x v="695"/>
    <s v="INV-2411-696"/>
    <n v="123457484"/>
    <s v="PC-IND-MG84Z-91"/>
    <x v="1"/>
    <n v="251"/>
    <n v="26"/>
    <n v="6526"/>
    <n v="123456789"/>
    <s v="Pune"/>
  </r>
  <r>
    <x v="696"/>
    <s v="INV-2411-697"/>
    <n v="123457485"/>
    <s v="PC-IND-TE50N-54"/>
    <x v="1"/>
    <n v="293"/>
    <n v="21"/>
    <n v="6153"/>
    <n v="123456789"/>
    <s v="Pune"/>
  </r>
  <r>
    <x v="697"/>
    <s v="INV-2412-698"/>
    <n v="123457486"/>
    <s v="PC-IND-UU74B-15"/>
    <x v="1"/>
    <n v="232"/>
    <n v="21"/>
    <n v="4872"/>
    <n v="123456789"/>
    <s v="Mumbai"/>
  </r>
  <r>
    <x v="698"/>
    <s v="INV-2412-699"/>
    <n v="123457487"/>
    <s v="ED-IND-CP44L-46"/>
    <x v="0"/>
    <n v="231"/>
    <n v="26"/>
    <n v="6006"/>
    <n v="123456789"/>
    <s v="Mumbai"/>
  </r>
  <r>
    <x v="699"/>
    <s v="INV-2412-700"/>
    <n v="123457488"/>
    <s v="ED-IND-BA53J-37"/>
    <x v="0"/>
    <n v="218"/>
    <n v="21"/>
    <n v="4578"/>
    <n v="123456789"/>
    <s v="Pune"/>
  </r>
  <r>
    <x v="700"/>
    <s v="INV-2412-701"/>
    <n v="123457489"/>
    <s v="ED-IND-QD21W-53"/>
    <x v="0"/>
    <n v="277"/>
    <n v="31"/>
    <n v="8587"/>
    <n v="123456789"/>
    <s v="Mumbai"/>
  </r>
  <r>
    <x v="701"/>
    <s v="INV-2412-702"/>
    <n v="123457490"/>
    <s v="ED-IND-CR97J-08"/>
    <x v="0"/>
    <n v="234"/>
    <n v="30"/>
    <n v="7020"/>
    <n v="123456789"/>
    <s v="Pune"/>
  </r>
  <r>
    <x v="702"/>
    <s v="INV-2412-703"/>
    <n v="123457491"/>
    <s v="ED-IND-GC96A-88"/>
    <x v="0"/>
    <n v="231"/>
    <n v="30"/>
    <n v="6930"/>
    <n v="123456789"/>
    <s v="Mumbai"/>
  </r>
  <r>
    <x v="703"/>
    <s v="INV-2412-704"/>
    <n v="123457492"/>
    <s v="ED-IND-ZF77J-41"/>
    <x v="0"/>
    <n v="202"/>
    <n v="26"/>
    <n v="5252"/>
    <n v="123456789"/>
    <s v="Mumbai"/>
  </r>
  <r>
    <x v="704"/>
    <s v="INV-2412-705"/>
    <n v="123457493"/>
    <s v="PC-IND-LE21D-23"/>
    <x v="1"/>
    <n v="227"/>
    <n v="30"/>
    <n v="6810"/>
    <n v="123456789"/>
    <s v="Pune"/>
  </r>
  <r>
    <x v="705"/>
    <s v="INV-2412-706"/>
    <n v="123457494"/>
    <s v="ED-IND-VZ74Q-74"/>
    <x v="0"/>
    <n v="269"/>
    <n v="30"/>
    <n v="8070"/>
    <n v="123456789"/>
    <s v="Mumbai"/>
  </r>
  <r>
    <x v="706"/>
    <s v="INV-2412-707"/>
    <n v="123457495"/>
    <s v="ED-IND-BS55M-05"/>
    <x v="0"/>
    <n v="212"/>
    <n v="28"/>
    <n v="5936"/>
    <n v="123456789"/>
    <s v="Pune"/>
  </r>
  <r>
    <x v="707"/>
    <s v="INV-2412-708"/>
    <n v="123457496"/>
    <s v="ED-IND-GQ85N-18"/>
    <x v="0"/>
    <n v="239"/>
    <n v="21"/>
    <n v="5019"/>
    <n v="123456789"/>
    <s v="Mumbai"/>
  </r>
  <r>
    <x v="708"/>
    <s v="INV-2412-709"/>
    <n v="123457497"/>
    <s v="ED-IND-BH90S-10"/>
    <x v="0"/>
    <n v="264"/>
    <n v="31"/>
    <n v="8184"/>
    <n v="123456789"/>
    <s v="Pune"/>
  </r>
  <r>
    <x v="709"/>
    <s v="INV-2412-710"/>
    <n v="123457498"/>
    <s v="PC-IND-CH58Y-98"/>
    <x v="1"/>
    <n v="286"/>
    <n v="29"/>
    <n v="8294"/>
    <n v="123456789"/>
    <s v="Pune"/>
  </r>
  <r>
    <x v="710"/>
    <s v="INV-2412-711"/>
    <n v="123457499"/>
    <s v="ED-IND-LH75X-81"/>
    <x v="0"/>
    <n v="241"/>
    <n v="21"/>
    <n v="5061"/>
    <n v="123456789"/>
    <s v="Mumbai"/>
  </r>
  <r>
    <x v="711"/>
    <s v="INV-2412-712"/>
    <n v="123457500"/>
    <s v="PC-IND-MX75P-18"/>
    <x v="1"/>
    <n v="293"/>
    <n v="26"/>
    <n v="7618"/>
    <n v="123456789"/>
    <s v="Pune"/>
  </r>
  <r>
    <x v="712"/>
    <s v="INV-2412-713"/>
    <n v="123457501"/>
    <s v="ED-IND-AI73L-10"/>
    <x v="0"/>
    <n v="237"/>
    <n v="29"/>
    <n v="6873"/>
    <n v="123456789"/>
    <s v="Pune"/>
  </r>
  <r>
    <x v="713"/>
    <s v="INV-2412-714"/>
    <n v="123457502"/>
    <s v="PC-IND-YE56N-08"/>
    <x v="1"/>
    <n v="204"/>
    <n v="25"/>
    <n v="5100"/>
    <n v="123456789"/>
    <s v="Mumbai"/>
  </r>
  <r>
    <x v="714"/>
    <s v="INV-2412-715"/>
    <n v="123457503"/>
    <s v="ED-IND-AW48N-58"/>
    <x v="0"/>
    <n v="285"/>
    <n v="26"/>
    <n v="7410"/>
    <n v="123456789"/>
    <s v="Pune"/>
  </r>
  <r>
    <x v="715"/>
    <s v="INV-2412-716"/>
    <n v="123457504"/>
    <s v="ED-IND-HR36W-89"/>
    <x v="0"/>
    <n v="247"/>
    <n v="27"/>
    <n v="6669"/>
    <n v="123456789"/>
    <s v="Pune"/>
  </r>
  <r>
    <x v="716"/>
    <s v="INV-2412-717"/>
    <n v="123457505"/>
    <s v="ED-IND-YX26A-13"/>
    <x v="0"/>
    <n v="227"/>
    <n v="27"/>
    <n v="6129"/>
    <n v="123456789"/>
    <s v="Mumbai"/>
  </r>
  <r>
    <x v="717"/>
    <s v="INV-2412-718"/>
    <n v="123457506"/>
    <s v="ED-IND-AW57N-95"/>
    <x v="0"/>
    <n v="266"/>
    <n v="26"/>
    <n v="6916"/>
    <n v="123456789"/>
    <s v="Pune"/>
  </r>
  <r>
    <x v="718"/>
    <s v="INV-2412-719"/>
    <n v="123457507"/>
    <s v="PC-IND-KV10F-49"/>
    <x v="1"/>
    <n v="296"/>
    <n v="24"/>
    <n v="7104"/>
    <n v="123456789"/>
    <s v="Pune"/>
  </r>
  <r>
    <x v="719"/>
    <s v="INV-2412-720"/>
    <n v="123457508"/>
    <s v="PC-IND-EB66Q-75"/>
    <x v="1"/>
    <n v="222"/>
    <n v="24"/>
    <n v="5328"/>
    <n v="123456789"/>
    <s v="Mumbai"/>
  </r>
  <r>
    <x v="720"/>
    <s v="INV-2412-721"/>
    <n v="123457509"/>
    <s v="ED-IND-BZ79C-24"/>
    <x v="0"/>
    <n v="234"/>
    <n v="28"/>
    <n v="6552"/>
    <n v="123456789"/>
    <s v="Pune"/>
  </r>
  <r>
    <x v="721"/>
    <s v="INV-2412-722"/>
    <n v="123457510"/>
    <s v="PC-IND-AU72I-26"/>
    <x v="1"/>
    <n v="261"/>
    <n v="23"/>
    <n v="6003"/>
    <n v="123456789"/>
    <s v="Mumbai"/>
  </r>
  <r>
    <x v="722"/>
    <s v="INV-2412-723"/>
    <n v="123457511"/>
    <s v="ED-IND-VM64G-02"/>
    <x v="0"/>
    <n v="290"/>
    <n v="28"/>
    <n v="8120"/>
    <n v="123456789"/>
    <s v="Mumbai"/>
  </r>
  <r>
    <x v="723"/>
    <s v="INV-2412-724"/>
    <n v="123457512"/>
    <s v="ED-IND-KW68F-78"/>
    <x v="0"/>
    <n v="202"/>
    <n v="31"/>
    <n v="6262"/>
    <n v="123456789"/>
    <s v="Pune"/>
  </r>
  <r>
    <x v="724"/>
    <s v="INV-2412-725"/>
    <n v="123457513"/>
    <s v="ED-IND-NK78L-36"/>
    <x v="0"/>
    <n v="272"/>
    <n v="25"/>
    <n v="6800"/>
    <n v="123456789"/>
    <s v="Mumbai"/>
  </r>
  <r>
    <x v="725"/>
    <s v="INV-2412-726"/>
    <n v="123457514"/>
    <s v="ED-IND-ON83N-05"/>
    <x v="0"/>
    <n v="244"/>
    <n v="25"/>
    <n v="6100"/>
    <n v="123456789"/>
    <s v="Mumbai"/>
  </r>
  <r>
    <x v="726"/>
    <s v="INV-2412-727"/>
    <n v="123457515"/>
    <s v="PC-IND-OO77U-15"/>
    <x v="1"/>
    <n v="275"/>
    <n v="24"/>
    <n v="6600"/>
    <n v="123456789"/>
    <s v="Pune"/>
  </r>
  <r>
    <x v="727"/>
    <s v="INV-2412-728"/>
    <n v="123457516"/>
    <s v="PC-IND-SE98Q-29"/>
    <x v="1"/>
    <n v="226"/>
    <n v="31"/>
    <n v="7006"/>
    <n v="123456789"/>
    <s v="Pune"/>
  </r>
  <r>
    <x v="728"/>
    <s v="INV-2501-729"/>
    <n v="123457517"/>
    <s v="ED-IND-DG24B-24"/>
    <x v="0"/>
    <n v="952"/>
    <n v="29"/>
    <n v="27608"/>
    <n v="123456789"/>
    <s v="Pune"/>
  </r>
  <r>
    <x v="729"/>
    <s v="INV-2501-730"/>
    <n v="123457518"/>
    <s v="ED-IND-ME36I-17"/>
    <x v="0"/>
    <n v="773"/>
    <n v="28"/>
    <n v="21644"/>
    <n v="123456789"/>
    <s v="Pune"/>
  </r>
  <r>
    <x v="730"/>
    <s v="INV-2501-731"/>
    <n v="123457519"/>
    <s v="ED-IND-RY93R-14"/>
    <x v="0"/>
    <n v="815"/>
    <n v="22"/>
    <n v="17930"/>
    <n v="123456789"/>
    <s v="Mumbai"/>
  </r>
  <r>
    <x v="731"/>
    <s v="INV-2501-732"/>
    <n v="123457520"/>
    <s v="ED-IND-CR14F-50"/>
    <x v="0"/>
    <n v="898"/>
    <n v="28"/>
    <n v="25144"/>
    <n v="123456789"/>
    <s v="Pune"/>
  </r>
  <r>
    <x v="732"/>
    <s v="INV-2501-733"/>
    <n v="123457521"/>
    <s v="ED-IND-IR17Z-14"/>
    <x v="0"/>
    <n v="567"/>
    <n v="25"/>
    <n v="14175"/>
    <n v="123456789"/>
    <s v="Pune"/>
  </r>
  <r>
    <x v="733"/>
    <s v="INV-2501-734"/>
    <n v="123457522"/>
    <s v="ED-IND-JK27W-13"/>
    <x v="0"/>
    <n v="569"/>
    <n v="27"/>
    <n v="15363"/>
    <n v="123456789"/>
    <s v="Pune"/>
  </r>
  <r>
    <x v="734"/>
    <s v="INV-2501-735"/>
    <n v="123457523"/>
    <s v="ED-IND-SR87O-39"/>
    <x v="0"/>
    <n v="594"/>
    <n v="26"/>
    <n v="15444"/>
    <n v="123456789"/>
    <s v="Pune"/>
  </r>
  <r>
    <x v="735"/>
    <s v="INV-2501-736"/>
    <n v="123457524"/>
    <s v="ED-IND-EI14A-82"/>
    <x v="0"/>
    <n v="703"/>
    <n v="22"/>
    <n v="15466"/>
    <n v="123456789"/>
    <s v="Pune"/>
  </r>
  <r>
    <x v="736"/>
    <s v="INV-2501-737"/>
    <n v="123457525"/>
    <s v="ED-IND-UX88B-38"/>
    <x v="0"/>
    <n v="929"/>
    <n v="31"/>
    <n v="28799"/>
    <n v="123456789"/>
    <s v="Mumbai"/>
  </r>
  <r>
    <x v="737"/>
    <s v="INV-2501-738"/>
    <n v="123457526"/>
    <s v="ED-IND-AY81Y-88"/>
    <x v="0"/>
    <n v="595"/>
    <n v="30"/>
    <n v="17850"/>
    <n v="123456789"/>
    <s v="Pune"/>
  </r>
  <r>
    <x v="738"/>
    <s v="INV-2501-739"/>
    <n v="123457527"/>
    <s v="ED-IND-OE92Q-08"/>
    <x v="0"/>
    <n v="919"/>
    <n v="28"/>
    <n v="25732"/>
    <n v="123456789"/>
    <s v="Pune"/>
  </r>
  <r>
    <x v="739"/>
    <s v="INV-2501-740"/>
    <n v="123457528"/>
    <s v="PC-IND-QL16Y-80"/>
    <x v="1"/>
    <n v="959"/>
    <n v="28"/>
    <n v="26852"/>
    <n v="123456789"/>
    <s v="Pune"/>
  </r>
  <r>
    <x v="740"/>
    <s v="INV-2501-741"/>
    <n v="123457529"/>
    <s v="ED-IND-HE78Y-96"/>
    <x v="0"/>
    <n v="755"/>
    <n v="29"/>
    <n v="21895"/>
    <n v="123456789"/>
    <s v="Pune"/>
  </r>
  <r>
    <x v="741"/>
    <s v="INV-2501-742"/>
    <n v="123457530"/>
    <s v="PC-IND-WZ86E-89"/>
    <x v="1"/>
    <n v="508"/>
    <n v="27"/>
    <n v="13716"/>
    <n v="123456789"/>
    <s v="Pune"/>
  </r>
  <r>
    <x v="742"/>
    <s v="INV-2501-743"/>
    <n v="123457531"/>
    <s v="ED-IND-PB73D-16"/>
    <x v="0"/>
    <n v="993"/>
    <n v="27"/>
    <n v="26811"/>
    <n v="123456789"/>
    <s v="Pune"/>
  </r>
  <r>
    <x v="743"/>
    <s v="INV-2501-744"/>
    <n v="123457532"/>
    <s v="ED-IND-IU25Z-31"/>
    <x v="0"/>
    <n v="642"/>
    <n v="22"/>
    <n v="14124"/>
    <n v="123456789"/>
    <s v="Pune"/>
  </r>
  <r>
    <x v="744"/>
    <s v="INV-2501-745"/>
    <n v="123457533"/>
    <s v="ED-IND-KP24Y-16"/>
    <x v="0"/>
    <n v="790"/>
    <n v="21"/>
    <n v="16590"/>
    <n v="123456789"/>
    <s v="Mumbai"/>
  </r>
  <r>
    <x v="745"/>
    <s v="INV-2501-746"/>
    <n v="123457534"/>
    <s v="ED-IND-ZP16M-96"/>
    <x v="0"/>
    <n v="627"/>
    <n v="29"/>
    <n v="18183"/>
    <n v="123456789"/>
    <s v="Pune"/>
  </r>
  <r>
    <x v="746"/>
    <s v="INV-2501-747"/>
    <n v="123457535"/>
    <s v="ED-IND-XT71L-23"/>
    <x v="0"/>
    <n v="637"/>
    <n v="24"/>
    <n v="15288"/>
    <n v="123456789"/>
    <s v="Pune"/>
  </r>
  <r>
    <x v="747"/>
    <s v="INV-2501-748"/>
    <n v="123457536"/>
    <s v="ED-IND-CA94Q-04"/>
    <x v="0"/>
    <n v="941"/>
    <n v="21"/>
    <n v="19761"/>
    <n v="123456789"/>
    <s v="Pune"/>
  </r>
  <r>
    <x v="748"/>
    <s v="INV-2501-749"/>
    <n v="123457537"/>
    <s v="PC-IND-HR49Z-94"/>
    <x v="1"/>
    <n v="572"/>
    <n v="24"/>
    <n v="13728"/>
    <n v="123456789"/>
    <s v="Mumbai"/>
  </r>
  <r>
    <x v="749"/>
    <s v="INV-2501-750"/>
    <n v="123457538"/>
    <s v="PC-IND-MG55D-28"/>
    <x v="1"/>
    <n v="564"/>
    <n v="23"/>
    <n v="12972"/>
    <n v="123456789"/>
    <s v="Mumbai"/>
  </r>
  <r>
    <x v="750"/>
    <s v="INV-2501-751"/>
    <n v="123457539"/>
    <s v="ED-IND-EI14O-21"/>
    <x v="0"/>
    <n v="962"/>
    <n v="29"/>
    <n v="27898"/>
    <n v="123456789"/>
    <s v="Pune"/>
  </r>
  <r>
    <x v="751"/>
    <s v="INV-2501-752"/>
    <n v="123457540"/>
    <s v="ED-IND-VA50F-81"/>
    <x v="0"/>
    <n v="915"/>
    <n v="26"/>
    <n v="23790"/>
    <n v="123456789"/>
    <s v="Pune"/>
  </r>
  <r>
    <x v="752"/>
    <s v="INV-2501-753"/>
    <n v="123457541"/>
    <s v="ED-IND-RD23C-63"/>
    <x v="0"/>
    <n v="736"/>
    <n v="25"/>
    <n v="18400"/>
    <n v="123456789"/>
    <s v="Pune"/>
  </r>
  <r>
    <x v="753"/>
    <s v="INV-2501-754"/>
    <n v="123457542"/>
    <s v="ED-IND-ED37Z-05"/>
    <x v="0"/>
    <n v="677"/>
    <n v="24"/>
    <n v="16248"/>
    <n v="123456789"/>
    <s v="Pune"/>
  </r>
  <r>
    <x v="754"/>
    <s v="INV-2501-755"/>
    <n v="123457543"/>
    <s v="ED-IND-CI52D-90"/>
    <x v="0"/>
    <n v="652"/>
    <n v="27"/>
    <n v="17604"/>
    <n v="123456789"/>
    <s v="Pune"/>
  </r>
  <r>
    <x v="755"/>
    <s v="INV-2501-756"/>
    <n v="123457544"/>
    <s v="PC-IND-JN15E-79"/>
    <x v="1"/>
    <n v="523"/>
    <n v="28"/>
    <n v="14644"/>
    <n v="123456789"/>
    <s v="Pune"/>
  </r>
  <r>
    <x v="756"/>
    <s v="INV-2501-757"/>
    <n v="123457545"/>
    <s v="ED-IND-ML40P-54"/>
    <x v="0"/>
    <n v="648"/>
    <n v="30"/>
    <n v="19440"/>
    <n v="123456789"/>
    <s v="Mumbai"/>
  </r>
  <r>
    <x v="757"/>
    <s v="INV-2501-758"/>
    <n v="123457546"/>
    <s v="ED-IND-NY52T-35"/>
    <x v="0"/>
    <n v="644"/>
    <n v="26"/>
    <n v="16744"/>
    <n v="123456789"/>
    <s v="Pune"/>
  </r>
  <r>
    <x v="758"/>
    <s v="INV-2501-759"/>
    <n v="123457547"/>
    <s v="ED-IND-OU87M-50"/>
    <x v="0"/>
    <n v="966"/>
    <n v="24"/>
    <n v="23184"/>
    <n v="123456789"/>
    <s v="Pune"/>
  </r>
  <r>
    <x v="759"/>
    <s v="INV-2502-760"/>
    <n v="123457548"/>
    <s v="ED-IND-XA80P-77"/>
    <x v="0"/>
    <n v="687"/>
    <n v="27"/>
    <n v="18549"/>
    <n v="123456789"/>
    <s v="Pune"/>
  </r>
  <r>
    <x v="760"/>
    <s v="INV-2502-761"/>
    <n v="123457549"/>
    <s v="PC-IND-SX89B-96"/>
    <x v="1"/>
    <n v="765"/>
    <n v="22"/>
    <n v="16830"/>
    <n v="123456789"/>
    <s v="Pune"/>
  </r>
  <r>
    <x v="761"/>
    <s v="INV-2502-762"/>
    <n v="123457550"/>
    <s v="ED-IND-WQ84L-96"/>
    <x v="0"/>
    <n v="836"/>
    <n v="30"/>
    <n v="25080"/>
    <n v="123456789"/>
    <s v="Pune"/>
  </r>
  <r>
    <x v="762"/>
    <s v="INV-2502-763"/>
    <n v="123457551"/>
    <s v="PC-IND-KE97B-18"/>
    <x v="1"/>
    <n v="885"/>
    <n v="28"/>
    <n v="24780"/>
    <n v="123456789"/>
    <s v="Mumbai"/>
  </r>
  <r>
    <x v="763"/>
    <s v="INV-2502-764"/>
    <n v="123457552"/>
    <s v="PC-IND-GC84W-61"/>
    <x v="1"/>
    <n v="748"/>
    <n v="29"/>
    <n v="21692"/>
    <n v="123456789"/>
    <s v="Pune"/>
  </r>
  <r>
    <x v="764"/>
    <s v="INV-2502-765"/>
    <n v="123457553"/>
    <s v="ED-IND-KB66Z-13"/>
    <x v="0"/>
    <n v="599"/>
    <n v="22"/>
    <n v="13178"/>
    <n v="123456789"/>
    <s v="Pune"/>
  </r>
  <r>
    <x v="765"/>
    <s v="INV-2502-766"/>
    <n v="123457554"/>
    <s v="ED-IND-SU87G-04"/>
    <x v="0"/>
    <n v="982"/>
    <n v="26"/>
    <n v="25532"/>
    <n v="123456789"/>
    <s v="Pune"/>
  </r>
  <r>
    <x v="766"/>
    <s v="INV-2502-767"/>
    <n v="123457555"/>
    <s v="PC-IND-MO14M-05"/>
    <x v="1"/>
    <n v="646"/>
    <n v="28"/>
    <n v="18088"/>
    <n v="123456789"/>
    <s v="Mumbai"/>
  </r>
  <r>
    <x v="767"/>
    <s v="INV-2502-768"/>
    <n v="123457556"/>
    <s v="ED-IND-JN32G-21"/>
    <x v="0"/>
    <n v="614"/>
    <n v="22"/>
    <n v="13508"/>
    <n v="123456789"/>
    <s v="Pune"/>
  </r>
  <r>
    <x v="768"/>
    <s v="INV-2502-769"/>
    <n v="123457557"/>
    <s v="PC-IND-UT35H-64"/>
    <x v="1"/>
    <n v="913"/>
    <n v="31"/>
    <n v="28303"/>
    <n v="123456789"/>
    <s v="Pune"/>
  </r>
  <r>
    <x v="769"/>
    <s v="INV-2502-770"/>
    <n v="123457558"/>
    <s v="ED-IND-TQ62O-75"/>
    <x v="0"/>
    <n v="615"/>
    <n v="29"/>
    <n v="17835"/>
    <n v="123456789"/>
    <s v="Pune"/>
  </r>
  <r>
    <x v="770"/>
    <s v="INV-2502-771"/>
    <n v="123457559"/>
    <s v="ED-IND-FO75Z-20"/>
    <x v="0"/>
    <n v="786"/>
    <n v="31"/>
    <n v="24366"/>
    <n v="123456789"/>
    <s v="Mumbai"/>
  </r>
  <r>
    <x v="771"/>
    <s v="INV-2502-772"/>
    <n v="123457560"/>
    <s v="ED-IND-ML91F-37"/>
    <x v="0"/>
    <n v="576"/>
    <n v="24"/>
    <n v="13824"/>
    <n v="123456789"/>
    <s v="Pune"/>
  </r>
  <r>
    <x v="772"/>
    <s v="INV-2502-773"/>
    <n v="123457561"/>
    <s v="ED-IND-PY54W-22"/>
    <x v="0"/>
    <n v="670"/>
    <n v="26"/>
    <n v="17420"/>
    <n v="123456789"/>
    <s v="Mumbai"/>
  </r>
  <r>
    <x v="773"/>
    <s v="INV-2502-774"/>
    <n v="123457562"/>
    <s v="PC-IND-FB92A-35"/>
    <x v="1"/>
    <n v="994"/>
    <n v="30"/>
    <n v="29820"/>
    <n v="123456789"/>
    <s v="Pune"/>
  </r>
  <r>
    <x v="774"/>
    <s v="INV-2502-775"/>
    <n v="123457563"/>
    <s v="ED-IND-VT22D-51"/>
    <x v="0"/>
    <n v="665"/>
    <n v="24"/>
    <n v="15960"/>
    <n v="123456789"/>
    <s v="Mumbai"/>
  </r>
  <r>
    <x v="775"/>
    <s v="INV-2502-776"/>
    <n v="123457564"/>
    <s v="ED-IND-DY60M-09"/>
    <x v="0"/>
    <n v="686"/>
    <n v="30"/>
    <n v="20580"/>
    <n v="123456789"/>
    <s v="Mumbai"/>
  </r>
  <r>
    <x v="776"/>
    <s v="INV-2502-777"/>
    <n v="123457565"/>
    <s v="ED-IND-VO52Q-50"/>
    <x v="0"/>
    <n v="656"/>
    <n v="25"/>
    <n v="16400"/>
    <n v="123456789"/>
    <s v="Pune"/>
  </r>
  <r>
    <x v="777"/>
    <s v="INV-2502-778"/>
    <n v="123457566"/>
    <s v="ED-IND-KQ78V-74"/>
    <x v="0"/>
    <n v="718"/>
    <n v="22"/>
    <n v="15796"/>
    <n v="123456789"/>
    <s v="Pune"/>
  </r>
  <r>
    <x v="778"/>
    <s v="INV-2502-779"/>
    <n v="123457567"/>
    <s v="PC-IND-ES12T-06"/>
    <x v="1"/>
    <n v="545"/>
    <n v="23"/>
    <n v="12535"/>
    <n v="123456789"/>
    <s v="Pune"/>
  </r>
  <r>
    <x v="779"/>
    <s v="INV-2502-780"/>
    <n v="123457568"/>
    <s v="ED-IND-UL42M-02"/>
    <x v="0"/>
    <n v="560"/>
    <n v="27"/>
    <n v="15120"/>
    <n v="123456789"/>
    <s v="Pune"/>
  </r>
  <r>
    <x v="780"/>
    <s v="INV-2502-781"/>
    <n v="123457569"/>
    <s v="ED-IND-UL24S-60"/>
    <x v="0"/>
    <n v="781"/>
    <n v="23"/>
    <n v="17963"/>
    <n v="123456789"/>
    <s v="Mumbai"/>
  </r>
  <r>
    <x v="781"/>
    <s v="INV-2502-782"/>
    <n v="123457570"/>
    <s v="PC-IND-VA16S-40"/>
    <x v="1"/>
    <n v="807"/>
    <n v="27"/>
    <n v="21789"/>
    <n v="123456789"/>
    <s v="Pune"/>
  </r>
  <r>
    <x v="782"/>
    <s v="INV-2502-783"/>
    <n v="123457571"/>
    <s v="ED-IND-JQ86Z-13"/>
    <x v="0"/>
    <n v="913"/>
    <n v="26"/>
    <n v="23738"/>
    <n v="123456789"/>
    <s v="Pune"/>
  </r>
  <r>
    <x v="783"/>
    <s v="INV-2502-784"/>
    <n v="123457572"/>
    <s v="ED-IND-MG36O-77"/>
    <x v="0"/>
    <n v="810"/>
    <n v="29"/>
    <n v="23490"/>
    <n v="123456789"/>
    <s v="Pune"/>
  </r>
  <r>
    <x v="784"/>
    <s v="INV-2502-785"/>
    <n v="123457573"/>
    <s v="PC-IND-YN53J-02"/>
    <x v="1"/>
    <n v="853"/>
    <n v="31"/>
    <n v="26443"/>
    <n v="123456789"/>
    <s v="Pune"/>
  </r>
  <r>
    <x v="785"/>
    <s v="INV-2502-786"/>
    <n v="123457574"/>
    <s v="ED-IND-XW36K-94"/>
    <x v="0"/>
    <n v="924"/>
    <n v="25"/>
    <n v="23100"/>
    <n v="123456789"/>
    <s v="Pune"/>
  </r>
  <r>
    <x v="786"/>
    <s v="INV-2502-787"/>
    <n v="123457575"/>
    <s v="ED-IND-HL96Q-18"/>
    <x v="0"/>
    <n v="841"/>
    <n v="27"/>
    <n v="22707"/>
    <n v="123456789"/>
    <s v="Pune"/>
  </r>
  <r>
    <x v="787"/>
    <s v="INV-2503-788"/>
    <n v="123457576"/>
    <s v="ED-IND-EL85P-37"/>
    <x v="0"/>
    <n v="741"/>
    <n v="23"/>
    <n v="17043"/>
    <n v="123456789"/>
    <s v="Pune"/>
  </r>
  <r>
    <x v="788"/>
    <s v="INV-2503-789"/>
    <n v="123457577"/>
    <s v="PC-IND-PL81H-89"/>
    <x v="1"/>
    <n v="711"/>
    <n v="21"/>
    <n v="14931"/>
    <n v="123456789"/>
    <s v="Pune"/>
  </r>
  <r>
    <x v="789"/>
    <s v="INV-2503-790"/>
    <n v="123457578"/>
    <s v="ED-IND-PF16V-07"/>
    <x v="0"/>
    <n v="990"/>
    <n v="29"/>
    <n v="28710"/>
    <n v="123456789"/>
    <s v="Pune"/>
  </r>
  <r>
    <x v="790"/>
    <s v="INV-2503-791"/>
    <n v="123457579"/>
    <s v="PC-IND-DM94X-36"/>
    <x v="1"/>
    <n v="932"/>
    <n v="27"/>
    <n v="25164"/>
    <n v="123456789"/>
    <s v="Pune"/>
  </r>
  <r>
    <x v="791"/>
    <s v="INV-2503-792"/>
    <n v="123457580"/>
    <s v="PC-IND-DE25R-75"/>
    <x v="1"/>
    <n v="963"/>
    <n v="22"/>
    <n v="21186"/>
    <n v="123456789"/>
    <s v="Pune"/>
  </r>
  <r>
    <x v="792"/>
    <s v="INV-2503-793"/>
    <n v="123457581"/>
    <s v="ED-IND-CN93Q-67"/>
    <x v="0"/>
    <n v="936"/>
    <n v="25"/>
    <n v="23400"/>
    <n v="123456789"/>
    <s v="Pune"/>
  </r>
  <r>
    <x v="793"/>
    <s v="INV-2503-794"/>
    <n v="123457582"/>
    <s v="ED-IND-JA42A-30"/>
    <x v="0"/>
    <n v="889"/>
    <n v="23"/>
    <n v="20447"/>
    <n v="123456789"/>
    <s v="Mumbai"/>
  </r>
  <r>
    <x v="794"/>
    <s v="INV-2503-795"/>
    <n v="123457583"/>
    <s v="ED-IND-NX23U-25"/>
    <x v="0"/>
    <n v="517"/>
    <n v="25"/>
    <n v="12925"/>
    <n v="123456789"/>
    <s v="Mumbai"/>
  </r>
  <r>
    <x v="795"/>
    <s v="INV-2503-796"/>
    <n v="123457584"/>
    <s v="ED-IND-DK71Z-64"/>
    <x v="0"/>
    <n v="502"/>
    <n v="30"/>
    <n v="15060"/>
    <n v="123456789"/>
    <s v="Pune"/>
  </r>
  <r>
    <x v="796"/>
    <s v="INV-2503-797"/>
    <n v="123457585"/>
    <s v="ED-IND-OC30Z-09"/>
    <x v="0"/>
    <n v="794"/>
    <n v="24"/>
    <n v="19056"/>
    <n v="123456789"/>
    <s v="Pune"/>
  </r>
  <r>
    <x v="797"/>
    <s v="INV-2503-798"/>
    <n v="123457586"/>
    <s v="ED-IND-GR55I-34"/>
    <x v="0"/>
    <n v="592"/>
    <n v="31"/>
    <n v="18352"/>
    <n v="123456789"/>
    <s v="Pune"/>
  </r>
  <r>
    <x v="798"/>
    <s v="INV-2503-799"/>
    <n v="123457587"/>
    <s v="ED-IND-YR66S-21"/>
    <x v="0"/>
    <n v="513"/>
    <n v="22"/>
    <n v="11286"/>
    <n v="123456789"/>
    <s v="Pune"/>
  </r>
  <r>
    <x v="799"/>
    <s v="INV-2503-800"/>
    <n v="123457588"/>
    <s v="ED-IND-KU39O-48"/>
    <x v="0"/>
    <n v="976"/>
    <n v="31"/>
    <n v="30256"/>
    <n v="123456789"/>
    <s v="Mumbai"/>
  </r>
  <r>
    <x v="800"/>
    <s v="INV-2503-801"/>
    <n v="123457589"/>
    <s v="ED-IND-NE38K-89"/>
    <x v="0"/>
    <n v="662"/>
    <n v="30"/>
    <n v="19860"/>
    <n v="123456789"/>
    <s v="Pune"/>
  </r>
  <r>
    <x v="801"/>
    <s v="INV-2503-802"/>
    <n v="123457590"/>
    <s v="ED-IND-NH80K-01"/>
    <x v="0"/>
    <n v="758"/>
    <n v="30"/>
    <n v="22740"/>
    <n v="123456789"/>
    <s v="Mumbai"/>
  </r>
  <r>
    <x v="802"/>
    <s v="INV-2503-803"/>
    <n v="123457591"/>
    <s v="ED-IND-FL75H-02"/>
    <x v="0"/>
    <n v="875"/>
    <n v="29"/>
    <n v="25375"/>
    <n v="123456789"/>
    <s v="Pune"/>
  </r>
  <r>
    <x v="803"/>
    <s v="INV-2503-804"/>
    <n v="123457592"/>
    <s v="ED-IND-ZL95M-92"/>
    <x v="0"/>
    <n v="605"/>
    <n v="21"/>
    <n v="12705"/>
    <n v="123456789"/>
    <s v="Mumbai"/>
  </r>
  <r>
    <x v="804"/>
    <s v="INV-2503-805"/>
    <n v="123457593"/>
    <s v="ED-IND-UK84F-51"/>
    <x v="0"/>
    <n v="671"/>
    <n v="22"/>
    <n v="14762"/>
    <n v="123456789"/>
    <s v="Pune"/>
  </r>
  <r>
    <x v="805"/>
    <s v="INV-2503-806"/>
    <n v="123457594"/>
    <s v="ED-IND-TM41Y-64"/>
    <x v="0"/>
    <n v="999"/>
    <n v="29"/>
    <n v="28971"/>
    <n v="123456789"/>
    <s v="Pune"/>
  </r>
  <r>
    <x v="806"/>
    <s v="INV-2503-807"/>
    <n v="123457595"/>
    <s v="ED-IND-RZ17U-71"/>
    <x v="0"/>
    <n v="949"/>
    <n v="24"/>
    <n v="22776"/>
    <n v="123456789"/>
    <s v="Pune"/>
  </r>
  <r>
    <x v="807"/>
    <s v="INV-2503-808"/>
    <n v="123457596"/>
    <s v="ED-IND-DV84C-44"/>
    <x v="0"/>
    <n v="979"/>
    <n v="22"/>
    <n v="21538"/>
    <n v="123456789"/>
    <s v="Pune"/>
  </r>
  <r>
    <x v="808"/>
    <s v="INV-2503-809"/>
    <n v="123457597"/>
    <s v="ED-IND-RA14O-95"/>
    <x v="0"/>
    <n v="793"/>
    <n v="28"/>
    <n v="22204"/>
    <n v="123456789"/>
    <s v="Mumbai"/>
  </r>
  <r>
    <x v="809"/>
    <s v="INV-2503-810"/>
    <n v="123457598"/>
    <s v="PC-IND-CC67Q-63"/>
    <x v="1"/>
    <n v="967"/>
    <n v="27"/>
    <n v="26109"/>
    <n v="123456789"/>
    <s v="Pune"/>
  </r>
  <r>
    <x v="810"/>
    <s v="INV-2503-811"/>
    <n v="123457599"/>
    <s v="ED-IND-SZ86O-54"/>
    <x v="0"/>
    <n v="689"/>
    <n v="30"/>
    <n v="20670"/>
    <n v="123456789"/>
    <s v="Pune"/>
  </r>
  <r>
    <x v="811"/>
    <s v="INV-2503-812"/>
    <n v="123457600"/>
    <s v="ED-IND-HP75E-64"/>
    <x v="0"/>
    <n v="883"/>
    <n v="23"/>
    <n v="20309"/>
    <n v="123456789"/>
    <s v="Mumbai"/>
  </r>
  <r>
    <x v="812"/>
    <s v="INV-2503-813"/>
    <n v="123457601"/>
    <s v="ED-IND-GC37K-21"/>
    <x v="0"/>
    <n v="687"/>
    <n v="24"/>
    <n v="16488"/>
    <n v="123456789"/>
    <s v="Pune"/>
  </r>
  <r>
    <x v="813"/>
    <s v="INV-2503-814"/>
    <n v="123457602"/>
    <s v="ED-IND-MQ99B-48"/>
    <x v="0"/>
    <n v="982"/>
    <n v="22"/>
    <n v="21604"/>
    <n v="123456789"/>
    <s v="Pune"/>
  </r>
  <r>
    <x v="814"/>
    <s v="INV-2503-815"/>
    <n v="123457603"/>
    <s v="ED-IND-MV55Y-66"/>
    <x v="0"/>
    <n v="621"/>
    <n v="28"/>
    <n v="17388"/>
    <n v="123456789"/>
    <s v="Pune"/>
  </r>
  <r>
    <x v="815"/>
    <s v="INV-2503-816"/>
    <n v="123457604"/>
    <s v="PC-IND-XW97A-22"/>
    <x v="1"/>
    <n v="963"/>
    <n v="27"/>
    <n v="26001"/>
    <n v="123456789"/>
    <s v="Pune"/>
  </r>
  <r>
    <x v="816"/>
    <s v="INV-2503-817"/>
    <n v="123457605"/>
    <s v="ED-IND-ZP16Y-32"/>
    <x v="0"/>
    <n v="772"/>
    <n v="31"/>
    <n v="23932"/>
    <n v="123456789"/>
    <s v="Pune"/>
  </r>
  <r>
    <x v="817"/>
    <s v="INV-2503-818"/>
    <n v="123457606"/>
    <s v="ED-IND-KJ88Q-86"/>
    <x v="0"/>
    <n v="919"/>
    <n v="21"/>
    <n v="19299"/>
    <n v="123456789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4817F-6B72-4808-99E5-4035E7F63E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1:N8" firstHeaderRow="1" firstDataRow="3" firstDataCol="1"/>
  <pivotFields count="13">
    <pivotField axis="axisCol" numFmtId="14" showAll="0">
      <items count="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showAll="0"/>
    <pivotField numFmtId="172" showAll="0"/>
    <pivotField showAll="0"/>
    <pivotField axis="axisRow" showAll="0">
      <items count="3">
        <item x="0"/>
        <item x="1"/>
        <item t="default"/>
      </items>
    </pivotField>
    <pivotField numFmtId="37" showAll="0"/>
    <pivotField numFmtId="171" showAll="0"/>
    <pivotField dataField="1" numFmtId="171" showAll="0"/>
    <pivotField numFmtId="170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h="1" sd="0" x="1"/>
        <item sd="0" x="2"/>
        <item h="1" sd="0" x="3"/>
        <item h="1" sd="0" x="4"/>
        <item t="default"/>
      </items>
    </pivotField>
  </pivotFields>
  <rowFields count="2">
    <field x="4"/>
    <field x="12"/>
  </rowFields>
  <rowItems count="5">
    <i>
      <x/>
    </i>
    <i r="1">
      <x v="2"/>
    </i>
    <i>
      <x v="1"/>
    </i>
    <i r="1">
      <x v="2"/>
    </i>
    <i t="grand">
      <x/>
    </i>
  </rowItems>
  <colFields count="2">
    <field x="10"/>
    <field x="0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" fld="7" baseField="0" baseItem="0" numFmtId="171"/>
  </dataFields>
  <chartFormats count="24">
    <chartFormat chart="0" format="3" series="1">
      <pivotArea type="data" outline="0" fieldPosition="0">
        <references count="1">
          <reference field="10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10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10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10" count="1" selected="0">
            <x v="7"/>
          </reference>
        </references>
      </pivotArea>
    </chartFormat>
    <chartFormat chart="0" format="7" series="1">
      <pivotArea type="data" outline="0" fieldPosition="0">
        <references count="1">
          <reference field="10" count="1" selected="0">
            <x v="8"/>
          </reference>
        </references>
      </pivotArea>
    </chartFormat>
    <chartFormat chart="0" format="8" series="1">
      <pivotArea type="data" outline="0" fieldPosition="0">
        <references count="1">
          <reference field="10" count="1" selected="0">
            <x v="9"/>
          </reference>
        </references>
      </pivotArea>
    </chartFormat>
    <chartFormat chart="0" format="9" series="1">
      <pivotArea type="data" outline="0" fieldPosition="0">
        <references count="1">
          <reference field="10" count="1" selected="0">
            <x v="10"/>
          </reference>
        </references>
      </pivotArea>
    </chartFormat>
    <chartFormat chart="0" format="10" series="1">
      <pivotArea type="data" outline="0" fieldPosition="0">
        <references count="1">
          <reference field="10" count="1" selected="0">
            <x v="11"/>
          </reference>
        </references>
      </pivotArea>
    </chartFormat>
    <chartFormat chart="0" format="11" series="1">
      <pivotArea type="data" outline="0" fieldPosition="0">
        <references count="1">
          <reference field="10" count="1" selected="0">
            <x v="12"/>
          </reference>
        </references>
      </pivotArea>
    </chartFormat>
    <chartFormat chart="0" format="12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14" series="1">
      <pivotArea type="data" outline="0" fieldPosition="0">
        <references count="1">
          <reference field="10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6DBE9-3547-4A5E-89D4-C60F769D72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C5" firstHeaderRow="1" firstDataRow="2" firstDataCol="1"/>
  <pivotFields count="13">
    <pivotField numFmtId="14" showAll="0">
      <items count="8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</pivotField>
    <pivotField showAll="0"/>
    <pivotField numFmtId="172" showAll="0"/>
    <pivotField showAll="0"/>
    <pivotField axis="axisRow" showAll="0">
      <items count="3">
        <item x="0"/>
        <item x="1"/>
        <item t="default"/>
      </items>
    </pivotField>
    <pivotField numFmtId="37" showAll="0"/>
    <pivotField numFmtId="171" showAll="0"/>
    <pivotField dataField="1" numFmtId="171" showAll="0"/>
    <pivotField numFmtId="170" showAll="0"/>
    <pivotField showAll="0"/>
    <pivotField showAll="0" defaultSubtotal="0"/>
    <pivotField showAll="0" defaultSubtotal="0"/>
    <pivotField axis="axisCol" showAll="0" defaultSubtotal="0">
      <items count="5">
        <item h="1" x="0"/>
        <item h="1" x="1"/>
        <item h="1" x="2"/>
        <item x="3"/>
        <item h="1" x="4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2">
    <i>
      <x v="3"/>
    </i>
    <i t="grand">
      <x/>
    </i>
  </colItems>
  <dataFields count="1">
    <dataField name="Sum of Total" fld="7" baseField="0" baseItem="0" numFmtId="171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2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rojectInvoice" displayName="ProjectInvoice" ref="B10:G25" totalsRowShown="0" headerRowDxfId="46" dataDxfId="45" headerRowCellStyle="Heading 3">
  <autoFilter ref="B10:G25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 dataDxfId="44"/>
    <tableColumn id="2" xr3:uid="{00000000-0010-0000-0000-000002000000}" name="Description" dataDxfId="43"/>
    <tableColumn id="7" xr3:uid="{00000000-0010-0000-0000-000007000000}" name="Qty" dataDxfId="42"/>
    <tableColumn id="8" xr3:uid="{00000000-0010-0000-0000-000008000000}" name="Unit Price" dataDxfId="41"/>
    <tableColumn id="10" xr3:uid="{00000000-0010-0000-0000-00000A000000}" name="Discount" dataDxfId="40"/>
    <tableColumn id="11" xr3:uid="{00000000-0010-0000-0000-00000B000000}" name="Price" dataDxfId="39">
      <calculatedColumnFormula>IFERROR((D11*E11)-F11,"")</calculatedColumnFormula>
    </tableColumn>
  </tableColumns>
  <tableStyleInfo name="Sales Invoice Table" showFirstColumn="0" showLastColumn="1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InvoiceDetails" displayName="InvoiceDetails" ref="B3:H821" totalsRowShown="0" headerRowDxfId="38" dataDxfId="37" headerRowCellStyle="Heading 4">
  <autoFilter ref="B3:H821" xr:uid="{00000000-0009-0000-0100-000002000000}"/>
  <sortState xmlns:xlrd2="http://schemas.microsoft.com/office/spreadsheetml/2017/richdata2" ref="B5:H40">
    <sortCondition ref="C4:C40"/>
  </sortState>
  <tableColumns count="7">
    <tableColumn id="2" xr3:uid="{00000000-0010-0000-0300-000002000000}" name="Description" dataDxfId="36">
      <calculatedColumnFormula>'Sales Data'!C3</calculatedColumnFormula>
    </tableColumn>
    <tableColumn id="1" xr3:uid="{00000000-0010-0000-0300-000001000000}" name="Invoice #" dataDxfId="35"/>
    <tableColumn id="4" xr3:uid="{00000000-0010-0000-0300-000004000000}" name="Item #" dataDxfId="34">
      <calculatedColumnFormula>'Sales Data'!E3</calculatedColumnFormula>
    </tableColumn>
    <tableColumn id="3" xr3:uid="{00000000-0010-0000-0300-000003000000}" name="Qty" dataDxfId="33">
      <calculatedColumnFormula>'Sales Data'!G3</calculatedColumnFormula>
    </tableColumn>
    <tableColumn id="6" xr3:uid="{00000000-0010-0000-0300-000006000000}" name="Unit price" dataDxfId="32">
      <calculatedColumnFormula>'Sales Data'!H3</calculatedColumnFormula>
    </tableColumn>
    <tableColumn id="5" xr3:uid="{00000000-0010-0000-0300-000005000000}" name="Discount" dataDxfId="31"/>
    <tableColumn id="10" xr3:uid="{00000000-0010-0000-0300-00000A000000}" name="Total" dataDxfId="30">
      <calculatedColumnFormula>(InvoiceDetails[[#This Row],[Qty]]*InvoiceDetails[[#This Row],[Unit price]])-InvoiceDetails[[#This Row],[Discount]]</calculatedColumnFormula>
    </tableColumn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details with description, invoice #, item #, quantity, unit price, discount, and total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C1236C-01A3-451F-99F7-563835080C50}" name="Table_SalesData" displayName="Table_SalesData" ref="B2:K820" totalsRowShown="0" headerRowDxfId="29" dataDxfId="28">
  <autoFilter ref="B2:K820" xr:uid="{00000000-000C-0000-FFFF-FFFF00000000}"/>
  <tableColumns count="10">
    <tableColumn id="1" xr3:uid="{C21400B4-D6D2-44FB-8E7C-0FAB931E8FBD}" name="Date" dataDxfId="27"/>
    <tableColumn id="9" xr3:uid="{A03E61BE-3F13-4126-BE9B-BFF477AF5065}" name="Invoice Number" dataDxfId="26"/>
    <tableColumn id="2" xr3:uid="{0A1327A8-AB45-4371-8B6C-D874B2DC7340}" name="Customer" dataDxfId="25"/>
    <tableColumn id="3" xr3:uid="{BCB7BD29-8BB4-4BD2-A357-E1931E782284}" name="Part Number" dataDxfId="24"/>
    <tableColumn id="10" xr3:uid="{170118D7-17FD-4A3B-87DD-1F8E65CDA086}" name="Service" dataDxfId="23" dataCellStyle="Normal 2"/>
    <tableColumn id="4" xr3:uid="{7BA25FBC-90D8-447C-8CDA-7F479AE02F74}" name="Quantity" dataDxfId="22"/>
    <tableColumn id="5" xr3:uid="{5E3BF2F1-86CE-4993-AA0E-7B681CF070AA}" name="Unit Price" dataDxfId="21"/>
    <tableColumn id="6" xr3:uid="{DBE58138-01D1-4987-AEC8-6532950CE37B}" name="Total" dataDxfId="20"/>
    <tableColumn id="8" xr3:uid="{E7524414-B0A3-475E-8016-38760CFC4E14}" name="Sales Person" dataDxfId="19"/>
    <tableColumn id="7" xr3:uid="{2BFD970E-9006-4FD2-BB16-C2209A24FCFC}" name="Region" dataDxfId="18"/>
  </tableColumns>
  <tableStyleInfo name="Sales Invoice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36353E3-E122-4D08-B668-35FA8E2E613D}" name="Table_SalesData17" displayName="Table_SalesData17" ref="A1:J819" totalsRowShown="0" headerRowDxfId="17" dataDxfId="16">
  <autoFilter ref="A1:J819" xr:uid="{836353E3-E122-4D08-B668-35FA8E2E613D}"/>
  <tableColumns count="10">
    <tableColumn id="1" xr3:uid="{575DA015-57C8-44C2-8881-72609C94B832}" name="Date" dataDxfId="15"/>
    <tableColumn id="9" xr3:uid="{94139961-B5EF-471E-A0E5-A1465F61240A}" name="Invoice Number" dataDxfId="14"/>
    <tableColumn id="2" xr3:uid="{4AC5C9AF-6D1B-4053-88E9-A14D2F8D4A1D}" name="Customer" dataDxfId="13"/>
    <tableColumn id="3" xr3:uid="{279BC727-42D2-48F5-BA17-6B6236C1C598}" name="Part Number" dataDxfId="12"/>
    <tableColumn id="10" xr3:uid="{2AD563CC-7A9D-48CD-BC06-8A05E7C46909}" name="Service" dataDxfId="11" dataCellStyle="Normal 2"/>
    <tableColumn id="4" xr3:uid="{760BA21F-D3DC-4377-943D-C1FAB02EFE8B}" name="Quantity" dataDxfId="10"/>
    <tableColumn id="5" xr3:uid="{A428FE8B-0734-46C9-8C1A-51B51DFAE4D2}" name="Unit Price" dataDxfId="9"/>
    <tableColumn id="6" xr3:uid="{67E3FFAB-61ED-44F3-8296-FDA045C19F58}" name="Total" dataDxfId="8"/>
    <tableColumn id="8" xr3:uid="{408372F7-5114-41F9-BF0A-E66F45CA661C}" name="Sales Person" dataDxfId="7"/>
    <tableColumn id="7" xr3:uid="{0E8D5341-B5B0-4AA3-B69D-E149ED1CB1CE}" name="Region" dataDxfId="6"/>
  </tableColumns>
  <tableStyleInfo name="Sales Invoice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Custom 49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FCDFA9-089D-4A50-A863-97E9422BAA58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Byw6mbesXNQiOTxwReP9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umarcoaters.com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A1:H40"/>
  <sheetViews>
    <sheetView showGridLines="0" tabSelected="1" zoomScaleNormal="100" workbookViewId="0">
      <selection activeCell="I23" sqref="I23"/>
    </sheetView>
  </sheetViews>
  <sheetFormatPr defaultColWidth="9" defaultRowHeight="34.049999999999997" customHeight="1" x14ac:dyDescent="0.3"/>
  <cols>
    <col min="1" max="1" width="2.77734375" style="11" customWidth="1"/>
    <col min="2" max="2" width="20.77734375" style="1" customWidth="1"/>
    <col min="3" max="3" width="23.109375" style="1" customWidth="1"/>
    <col min="4" max="4" width="20.77734375" style="1" customWidth="1"/>
    <col min="5" max="6" width="20.77734375" style="88" customWidth="1"/>
    <col min="7" max="7" width="25.77734375" style="88" customWidth="1"/>
    <col min="8" max="8" width="2.77734375" style="26" customWidth="1"/>
    <col min="9" max="9" width="11.33203125" style="1" customWidth="1"/>
    <col min="10" max="16384" width="9" style="1"/>
  </cols>
  <sheetData>
    <row r="1" spans="1:8" ht="58.05" customHeight="1" x14ac:dyDescent="0.3">
      <c r="A1" s="17"/>
      <c r="B1" s="18" t="s">
        <v>27</v>
      </c>
      <c r="C1" s="18"/>
      <c r="D1" s="18"/>
      <c r="E1" s="75"/>
      <c r="F1" s="75"/>
      <c r="G1" s="99"/>
      <c r="H1" s="39"/>
    </row>
    <row r="2" spans="1:8" s="26" customFormat="1" ht="19.95" customHeight="1" x14ac:dyDescent="0.3">
      <c r="A2" s="33"/>
      <c r="B2" s="33"/>
      <c r="C2" s="33"/>
      <c r="D2" s="33"/>
      <c r="E2" s="76"/>
      <c r="F2" s="76"/>
      <c r="G2" s="76"/>
      <c r="H2" s="33"/>
    </row>
    <row r="3" spans="1:8" s="37" customFormat="1" ht="24.6" customHeight="1" x14ac:dyDescent="0.3">
      <c r="A3" s="34"/>
      <c r="B3" s="35" t="str">
        <f>"Invoice for: "&amp;IFERROR(VLOOKUP(rngInvoice,#REF!,4),"")</f>
        <v xml:space="preserve">Invoice for: </v>
      </c>
      <c r="C3" s="36"/>
      <c r="D3" s="36"/>
      <c r="E3" s="77"/>
      <c r="F3" s="77"/>
      <c r="G3" s="77"/>
      <c r="H3" s="40"/>
    </row>
    <row r="4" spans="1:8" ht="41.4" customHeight="1" x14ac:dyDescent="0.3">
      <c r="A4" s="9"/>
      <c r="B4" s="105" t="s">
        <v>3</v>
      </c>
      <c r="C4" s="21" t="s">
        <v>37</v>
      </c>
      <c r="D4" s="19" t="s">
        <v>24</v>
      </c>
      <c r="E4" s="106" t="s">
        <v>39</v>
      </c>
      <c r="F4" s="89" t="s">
        <v>21</v>
      </c>
      <c r="G4" s="100" t="s">
        <v>40</v>
      </c>
      <c r="H4" s="41"/>
    </row>
    <row r="5" spans="1:8" ht="42.6" customHeight="1" x14ac:dyDescent="0.3">
      <c r="A5" s="9"/>
      <c r="B5" s="14"/>
      <c r="C5" s="14" t="s">
        <v>38</v>
      </c>
      <c r="D5" s="20" t="s">
        <v>25</v>
      </c>
      <c r="E5" s="78" t="s">
        <v>39</v>
      </c>
      <c r="F5" s="90" t="s">
        <v>22</v>
      </c>
      <c r="G5" s="107" t="s">
        <v>41</v>
      </c>
      <c r="H5" s="41"/>
    </row>
    <row r="6" spans="1:8" s="4" customFormat="1" ht="30" customHeight="1" x14ac:dyDescent="0.3">
      <c r="A6" s="10"/>
      <c r="B6" s="38" t="s">
        <v>2</v>
      </c>
      <c r="C6" s="12" t="s">
        <v>45</v>
      </c>
      <c r="D6" s="38" t="s">
        <v>24</v>
      </c>
      <c r="E6" s="79" t="s">
        <v>42</v>
      </c>
      <c r="F6" s="91" t="s">
        <v>18</v>
      </c>
      <c r="G6" s="101" t="s">
        <v>19</v>
      </c>
      <c r="H6" s="42"/>
    </row>
    <row r="7" spans="1:8" s="4" customFormat="1" ht="20.25" customHeight="1" x14ac:dyDescent="0.3">
      <c r="A7" s="10"/>
      <c r="B7" s="22"/>
      <c r="C7" s="12" t="s">
        <v>39</v>
      </c>
      <c r="D7" s="38" t="s">
        <v>25</v>
      </c>
      <c r="E7" s="79" t="s">
        <v>43</v>
      </c>
      <c r="F7" s="91" t="s">
        <v>4</v>
      </c>
      <c r="G7" s="102"/>
      <c r="H7" s="42"/>
    </row>
    <row r="8" spans="1:8" s="4" customFormat="1" ht="20.25" customHeight="1" x14ac:dyDescent="0.3">
      <c r="A8" s="10"/>
      <c r="B8" s="13"/>
      <c r="C8" s="12" t="s">
        <v>46</v>
      </c>
      <c r="D8" s="38" t="s">
        <v>26</v>
      </c>
      <c r="E8" s="79" t="s">
        <v>44</v>
      </c>
      <c r="F8" s="92"/>
      <c r="G8" s="103"/>
      <c r="H8" s="42"/>
    </row>
    <row r="9" spans="1:8" ht="19.95" customHeight="1" x14ac:dyDescent="0.3">
      <c r="B9" s="8"/>
      <c r="C9" s="5"/>
      <c r="D9" s="5"/>
      <c r="E9" s="80"/>
      <c r="F9" s="80"/>
      <c r="G9" s="80"/>
    </row>
    <row r="10" spans="1:8" s="23" customFormat="1" ht="34.049999999999997" customHeight="1" x14ac:dyDescent="0.3">
      <c r="B10" s="32" t="s">
        <v>15</v>
      </c>
      <c r="C10" s="32" t="s">
        <v>1</v>
      </c>
      <c r="D10" s="45" t="s">
        <v>11</v>
      </c>
      <c r="E10" s="81" t="s">
        <v>14</v>
      </c>
      <c r="F10" s="93" t="s">
        <v>13</v>
      </c>
      <c r="G10" s="104" t="s">
        <v>12</v>
      </c>
      <c r="H10" s="43"/>
    </row>
    <row r="11" spans="1:8" s="2" customFormat="1" ht="34.049999999999997" customHeight="1" x14ac:dyDescent="0.3">
      <c r="B11" s="48" t="str">
        <f t="array" ref="B11">IFERROR(INDEX(InvoiceDetails[],SMALL(IF(InvoiceDetails[Invoice '#]=rngInvoice,ROW(InvoiceDetails[])-ROW(InvoiceDetails[#Headers])), ROW(1:1)), MATCH($B$10, InvoiceDetails[#Headers], 0)),"")</f>
        <v>PC-IND-ES58E-77</v>
      </c>
      <c r="C11" s="49" t="str">
        <f t="array" ref="C11">IFERROR(INDEX(InvoiceDetails[],SMALL(IF(InvoiceDetails[Invoice '#]=rngInvoice,ROW(InvoiceDetails[])-ROW(InvoiceDetails[#Headers])), ROW(1:1)), MATCH($C$10, InvoiceDetails[#Headers], 0)),"")</f>
        <v>INV-2301-002</v>
      </c>
      <c r="D11" s="50">
        <f t="array" ref="D11">IFERROR(INDEX(InvoiceDetails[],SMALL(IF(InvoiceDetails[Invoice '#]=rngInvoice,ROW(InvoiceDetails[])-ROW(InvoiceDetails[#Headers])), ROW(1:1)), MATCH($D$10, InvoiceDetails[#Headers], 0)),"")</f>
        <v>717</v>
      </c>
      <c r="E11" s="82">
        <f t="array" ref="E11">IFERROR(INDEX(InvoiceDetails[],SMALL(IF(InvoiceDetails[Invoice '#]=rngInvoice,ROW(InvoiceDetails[])-ROW(InvoiceDetails[#Headers])), ROW(1:1)), MATCH($E$10, InvoiceDetails[#Headers], 0)),"")</f>
        <v>30</v>
      </c>
      <c r="F11" s="94">
        <f t="array" ref="F11">IFERROR(INDEX(InvoiceDetails[],SMALL(IF(InvoiceDetails[Invoice '#]=rngInvoice,ROW(InvoiceDetails[])-ROW(InvoiceDetails[#Headers])), ROW(1:1)), MATCH($F$10, InvoiceDetails[#Headers], 0)),"")</f>
        <v>2</v>
      </c>
      <c r="G11" s="82">
        <f t="shared" ref="G11:G25" si="0">IFERROR((D11*E11)-F11,"")</f>
        <v>21508</v>
      </c>
      <c r="H11" s="44"/>
    </row>
    <row r="12" spans="1:8" s="2" customFormat="1" ht="34.049999999999997" customHeight="1" x14ac:dyDescent="0.3">
      <c r="A12" s="44"/>
      <c r="B12" s="48" t="str">
        <f t="array" ref="B12">IFERROR(INDEX(InvoiceDetails[],SMALL(IF(InvoiceDetails[Invoice '#]=rngInvoice,ROW(InvoiceDetails[])-ROW(InvoiceDetails[#Headers])), ROW(4:4)), MATCH($B$10, InvoiceDetails[#Headers], 0)),"")</f>
        <v>ED-IND-BU40X-81</v>
      </c>
      <c r="C12" s="49" t="str">
        <f t="array" ref="C12">IFERROR(INDEX(InvoiceDetails[],SMALL(IF(InvoiceDetails[Invoice '#]=rngInvoice,ROW(InvoiceDetails[])-ROW(InvoiceDetails[#Headers])), ROW(4:4)), MATCH($C$10, InvoiceDetails[#Headers], 0)),"")</f>
        <v>INV-2301-028</v>
      </c>
      <c r="D12" s="50">
        <f t="array" ref="D12">IFERROR(INDEX(InvoiceDetails[],SMALL(IF(InvoiceDetails[Invoice '#]=rngInvoice,ROW(InvoiceDetails[])-ROW(InvoiceDetails[#Headers])), ROW(4:4)), MATCH($D$10, InvoiceDetails[#Headers], 0)),"")</f>
        <v>800</v>
      </c>
      <c r="E12" s="82">
        <f t="array" ref="E12">IFERROR(INDEX(InvoiceDetails[],SMALL(IF(InvoiceDetails[Invoice '#]=rngInvoice,ROW(InvoiceDetails[])-ROW(InvoiceDetails[#Headers])), ROW(4:4)), MATCH($E$10, InvoiceDetails[#Headers], 0)),"")</f>
        <v>31</v>
      </c>
      <c r="F12" s="94">
        <f t="array" ref="F12">IFERROR(INDEX(InvoiceDetails[],SMALL(IF(InvoiceDetails[Invoice '#]=rngInvoice,ROW(InvoiceDetails[])-ROW(InvoiceDetails[#Headers])), ROW(4:4)), MATCH($F$10, InvoiceDetails[#Headers], 0)),"")</f>
        <v>7</v>
      </c>
      <c r="G12" s="82">
        <f t="shared" si="0"/>
        <v>24793</v>
      </c>
      <c r="H12" s="44"/>
    </row>
    <row r="13" spans="1:8" s="2" customFormat="1" ht="34.049999999999997" customHeight="1" x14ac:dyDescent="0.3">
      <c r="B13" s="48" t="str">
        <f t="array" ref="B13">IFERROR(INDEX(InvoiceDetails[],SMALL(IF(InvoiceDetails[Invoice '#]=rngInvoice,ROW(InvoiceDetails[])-ROW(InvoiceDetails[#Headers])), ROW(5:5)), MATCH($B$10, InvoiceDetails[#Headers], 0)),"")</f>
        <v>ED-IND-TV20R-31</v>
      </c>
      <c r="C13" s="49" t="str">
        <f t="array" ref="C13">IFERROR(INDEX(InvoiceDetails[],SMALL(IF(InvoiceDetails[Invoice '#]=rngInvoice,ROW(InvoiceDetails[])-ROW(InvoiceDetails[#Headers])), ROW(5:5)), MATCH($C$10, InvoiceDetails[#Headers], 0)),"")</f>
        <v>INV-2302-029</v>
      </c>
      <c r="D13" s="50">
        <f t="array" ref="D13">IFERROR(INDEX(InvoiceDetails[],SMALL(IF(InvoiceDetails[Invoice '#]=rngInvoice,ROW(InvoiceDetails[])-ROW(InvoiceDetails[#Headers])), ROW(5:5)), MATCH($D$10, InvoiceDetails[#Headers], 0)),"")</f>
        <v>994</v>
      </c>
      <c r="E13" s="82">
        <f t="array" ref="E13">IFERROR(INDEX(InvoiceDetails[],SMALL(IF(InvoiceDetails[Invoice '#]=rngInvoice,ROW(InvoiceDetails[])-ROW(InvoiceDetails[#Headers])), ROW(5:5)), MATCH($E$10, InvoiceDetails[#Headers], 0)),"")</f>
        <v>21</v>
      </c>
      <c r="F13" s="94">
        <f t="array" ref="F13">IFERROR(INDEX(InvoiceDetails[],SMALL(IF(InvoiceDetails[Invoice '#]=rngInvoice,ROW(InvoiceDetails[])-ROW(InvoiceDetails[#Headers])), ROW(5:5)), MATCH($F$10, InvoiceDetails[#Headers], 0)),"")</f>
        <v>0</v>
      </c>
      <c r="G13" s="82">
        <f t="shared" si="0"/>
        <v>20874</v>
      </c>
      <c r="H13" s="44"/>
    </row>
    <row r="14" spans="1:8" s="2" customFormat="1" ht="34.049999999999997" customHeight="1" x14ac:dyDescent="0.3">
      <c r="B14" s="48" t="str">
        <f t="array" ref="B14">IFERROR(INDEX(InvoiceDetails[],SMALL(IF(InvoiceDetails[Invoice '#]=rngInvoice,ROW(InvoiceDetails[])-ROW(InvoiceDetails[#Headers])), ROW(6:6)), MATCH($B$10, InvoiceDetails[#Headers], 0)),"")</f>
        <v>ED-IND-UU36L-66</v>
      </c>
      <c r="C14" s="49" t="str">
        <f t="array" ref="C14">IFERROR(INDEX(InvoiceDetails[],SMALL(IF(InvoiceDetails[Invoice '#]=rngInvoice,ROW(InvoiceDetails[])-ROW(InvoiceDetails[#Headers])), ROW(6:6)), MATCH($C$10, InvoiceDetails[#Headers], 0)),"")</f>
        <v>INV-2302-030</v>
      </c>
      <c r="D14" s="50">
        <f t="array" ref="D14">IFERROR(INDEX(InvoiceDetails[],SMALL(IF(InvoiceDetails[Invoice '#]=rngInvoice,ROW(InvoiceDetails[])-ROW(InvoiceDetails[#Headers])), ROW(6:6)), MATCH($D$10, InvoiceDetails[#Headers], 0)),"")</f>
        <v>533</v>
      </c>
      <c r="E14" s="82">
        <f t="array" ref="E14">IFERROR(INDEX(InvoiceDetails[],SMALL(IF(InvoiceDetails[Invoice '#]=rngInvoice,ROW(InvoiceDetails[])-ROW(InvoiceDetails[#Headers])), ROW(6:6)), MATCH($E$10, InvoiceDetails[#Headers], 0)),"")</f>
        <v>26</v>
      </c>
      <c r="F14" s="94">
        <f t="array" ref="F14">IFERROR(INDEX(InvoiceDetails[],SMALL(IF(InvoiceDetails[Invoice '#]=rngInvoice,ROW(InvoiceDetails[])-ROW(InvoiceDetails[#Headers])), ROW(6:6)), MATCH($F$10, InvoiceDetails[#Headers], 0)),"")</f>
        <v>0</v>
      </c>
      <c r="G14" s="82">
        <f t="shared" si="0"/>
        <v>13858</v>
      </c>
      <c r="H14" s="44"/>
    </row>
    <row r="15" spans="1:8" s="2" customFormat="1" ht="34.049999999999997" customHeight="1" x14ac:dyDescent="0.3">
      <c r="B15" s="48" t="str">
        <f t="array" ref="B15">IFERROR(INDEX(InvoiceDetails[],SMALL(IF(InvoiceDetails[Invoice '#]=rngInvoice,ROW(InvoiceDetails[])-ROW(InvoiceDetails[#Headers])), ROW(7:7)), MATCH($B$10, InvoiceDetails[#Headers], 0)),"")</f>
        <v>ED-IND-FE78W-05</v>
      </c>
      <c r="C15" s="49" t="str">
        <f t="array" ref="C15">IFERROR(INDEX(InvoiceDetails[],SMALL(IF(InvoiceDetails[Invoice '#]=rngInvoice,ROW(InvoiceDetails[])-ROW(InvoiceDetails[#Headers])), ROW(7:7)), MATCH($C$10, InvoiceDetails[#Headers], 0)),"")</f>
        <v>INV-2302-031</v>
      </c>
      <c r="D15" s="50">
        <f t="array" ref="D15">IFERROR(INDEX(InvoiceDetails[],SMALL(IF(InvoiceDetails[Invoice '#]=rngInvoice,ROW(InvoiceDetails[])-ROW(InvoiceDetails[#Headers])), ROW(7:7)), MATCH($D$10, InvoiceDetails[#Headers], 0)),"")</f>
        <v>998</v>
      </c>
      <c r="E15" s="82">
        <f t="array" ref="E15">IFERROR(INDEX(InvoiceDetails[],SMALL(IF(InvoiceDetails[Invoice '#]=rngInvoice,ROW(InvoiceDetails[])-ROW(InvoiceDetails[#Headers])), ROW(7:7)), MATCH($E$10, InvoiceDetails[#Headers], 0)),"")</f>
        <v>29</v>
      </c>
      <c r="F15" s="94">
        <f t="array" ref="F15">IFERROR(INDEX(InvoiceDetails[],SMALL(IF(InvoiceDetails[Invoice '#]=rngInvoice,ROW(InvoiceDetails[])-ROW(InvoiceDetails[#Headers])), ROW(7:7)), MATCH($F$10, InvoiceDetails[#Headers], 0)),"")</f>
        <v>0</v>
      </c>
      <c r="G15" s="82">
        <f t="shared" si="0"/>
        <v>28942</v>
      </c>
      <c r="H15" s="44"/>
    </row>
    <row r="16" spans="1:8" s="2" customFormat="1" ht="34.049999999999997" customHeight="1" x14ac:dyDescent="0.3">
      <c r="B16" s="6" t="str">
        <f t="array" ref="B16">IFERROR(INDEX(InvoiceDetails[],SMALL(IF(InvoiceDetails[Invoice '#]=rngInvoice,ROW(InvoiceDetails[])-ROW(InvoiceDetails[#Headers])), ROW(8:8)), MATCH($B$10, InvoiceDetails[#Headers], 0)),"")</f>
        <v>ED-IND-KQ16R-25</v>
      </c>
      <c r="C16" s="7" t="str">
        <f t="array" ref="C16">IFERROR(INDEX(InvoiceDetails[],SMALL(IF(InvoiceDetails[Invoice '#]=rngInvoice,ROW(InvoiceDetails[])-ROW(InvoiceDetails[#Headers])), ROW(8:8)), MATCH($C$10, InvoiceDetails[#Headers], 0)),"")</f>
        <v>INV-2302-032</v>
      </c>
      <c r="D16" s="46">
        <f t="array" ref="D16">IFERROR(INDEX(InvoiceDetails[],SMALL(IF(InvoiceDetails[Invoice '#]=rngInvoice,ROW(InvoiceDetails[])-ROW(InvoiceDetails[#Headers])), ROW(8:8)), MATCH($D$10, InvoiceDetails[#Headers], 0)),"")</f>
        <v>851</v>
      </c>
      <c r="E16" s="83">
        <f t="array" ref="E16">IFERROR(INDEX(InvoiceDetails[],SMALL(IF(InvoiceDetails[Invoice '#]=rngInvoice,ROW(InvoiceDetails[])-ROW(InvoiceDetails[#Headers])), ROW(8:8)), MATCH($E$10, InvoiceDetails[#Headers], 0)),"")</f>
        <v>24</v>
      </c>
      <c r="F16" s="95">
        <f t="array" ref="F16">IFERROR(INDEX(InvoiceDetails[],SMALL(IF(InvoiceDetails[Invoice '#]=rngInvoice,ROW(InvoiceDetails[])-ROW(InvoiceDetails[#Headers])), ROW(8:8)), MATCH($F$10, InvoiceDetails[#Headers], 0)),"")</f>
        <v>0</v>
      </c>
      <c r="G16" s="82">
        <f t="shared" si="0"/>
        <v>20424</v>
      </c>
      <c r="H16" s="44"/>
    </row>
    <row r="17" spans="2:8" s="2" customFormat="1" ht="34.049999999999997" customHeight="1" x14ac:dyDescent="0.3">
      <c r="B17" s="6" t="str">
        <f t="array" ref="B17">IFERROR(INDEX(InvoiceDetails[],SMALL(IF(InvoiceDetails[Invoice '#]=rngInvoice,ROW(InvoiceDetails[])-ROW(InvoiceDetails[#Headers])), ROW(9:9)), MATCH($B$10, InvoiceDetails[#Headers], 0)),"")</f>
        <v>ED-IND-JK94K-77</v>
      </c>
      <c r="C17" s="7" t="str">
        <f t="array" ref="C17">IFERROR(INDEX(InvoiceDetails[],SMALL(IF(InvoiceDetails[Invoice '#]=rngInvoice,ROW(InvoiceDetails[])-ROW(InvoiceDetails[#Headers])), ROW(9:9)), MATCH($C$10, InvoiceDetails[#Headers], 0)),"")</f>
        <v>INV-2302-033</v>
      </c>
      <c r="D17" s="46">
        <f t="array" ref="D17">IFERROR(INDEX(InvoiceDetails[],SMALL(IF(InvoiceDetails[Invoice '#]=rngInvoice,ROW(InvoiceDetails[])-ROW(InvoiceDetails[#Headers])), ROW(9:9)), MATCH($D$10, InvoiceDetails[#Headers], 0)),"")</f>
        <v>919</v>
      </c>
      <c r="E17" s="83">
        <f t="array" ref="E17">IFERROR(INDEX(InvoiceDetails[],SMALL(IF(InvoiceDetails[Invoice '#]=rngInvoice,ROW(InvoiceDetails[])-ROW(InvoiceDetails[#Headers])), ROW(9:9)), MATCH($E$10, InvoiceDetails[#Headers], 0)),"")</f>
        <v>21</v>
      </c>
      <c r="F17" s="95">
        <f t="array" ref="F17">IFERROR(INDEX(InvoiceDetails[],SMALL(IF(InvoiceDetails[Invoice '#]=rngInvoice,ROW(InvoiceDetails[])-ROW(InvoiceDetails[#Headers])), ROW(9:9)), MATCH($F$10, InvoiceDetails[#Headers], 0)),"")</f>
        <v>0</v>
      </c>
      <c r="G17" s="82">
        <f t="shared" si="0"/>
        <v>19299</v>
      </c>
      <c r="H17" s="44"/>
    </row>
    <row r="18" spans="2:8" s="2" customFormat="1" ht="34.049999999999997" customHeight="1" x14ac:dyDescent="0.3">
      <c r="B18" s="6" t="str">
        <f t="array" ref="B18">IFERROR(INDEX(InvoiceDetails[],SMALL(IF(InvoiceDetails[Invoice '#]=rngInvoice,ROW(InvoiceDetails[])-ROW(InvoiceDetails[#Headers])), ROW(10:10)), MATCH($B$10, InvoiceDetails[#Headers], 0)),"")</f>
        <v>ED-IND-CR92V-20</v>
      </c>
      <c r="C18" s="7" t="str">
        <f t="array" ref="C18">IFERROR(INDEX(InvoiceDetails[],SMALL(IF(InvoiceDetails[Invoice '#]=rngInvoice,ROW(InvoiceDetails[])-ROW(InvoiceDetails[#Headers])), ROW(10:10)), MATCH($C$10, InvoiceDetails[#Headers], 0)),"")</f>
        <v>INV-2302-034</v>
      </c>
      <c r="D18" s="46">
        <f t="array" ref="D18">IFERROR(INDEX(InvoiceDetails[],SMALL(IF(InvoiceDetails[Invoice '#]=rngInvoice,ROW(InvoiceDetails[])-ROW(InvoiceDetails[#Headers])), ROW(10:10)), MATCH($D$10, InvoiceDetails[#Headers], 0)),"")</f>
        <v>924</v>
      </c>
      <c r="E18" s="83">
        <f t="array" ref="E18">IFERROR(INDEX(InvoiceDetails[],SMALL(IF(InvoiceDetails[Invoice '#]=rngInvoice,ROW(InvoiceDetails[])-ROW(InvoiceDetails[#Headers])), ROW(10:10)), MATCH($E$10, InvoiceDetails[#Headers], 0)),"")</f>
        <v>29</v>
      </c>
      <c r="F18" s="95">
        <f t="array" ref="F18">IFERROR(INDEX(InvoiceDetails[],SMALL(IF(InvoiceDetails[Invoice '#]=rngInvoice,ROW(InvoiceDetails[])-ROW(InvoiceDetails[#Headers])), ROW(10:10)), MATCH($F$10, InvoiceDetails[#Headers], 0)),"")</f>
        <v>3</v>
      </c>
      <c r="G18" s="82">
        <f t="shared" si="0"/>
        <v>26793</v>
      </c>
      <c r="H18" s="44"/>
    </row>
    <row r="19" spans="2:8" s="2" customFormat="1" ht="34.049999999999997" customHeight="1" x14ac:dyDescent="0.3">
      <c r="B19" s="6" t="str">
        <f t="array" ref="B19">IFERROR(INDEX(InvoiceDetails[],SMALL(IF(InvoiceDetails[Invoice '#]=rngInvoice,ROW(InvoiceDetails[])-ROW(InvoiceDetails[#Headers])), ROW(11:11)), MATCH($B$10, InvoiceDetails[#Headers], 0)),"")</f>
        <v>PC-IND-XL39M-09</v>
      </c>
      <c r="C19" s="7" t="str">
        <f t="array" ref="C19">IFERROR(INDEX(InvoiceDetails[],SMALL(IF(InvoiceDetails[Invoice '#]=rngInvoice,ROW(InvoiceDetails[])-ROW(InvoiceDetails[#Headers])), ROW(11:11)), MATCH($C$10, InvoiceDetails[#Headers], 0)),"")</f>
        <v>INV-2302-035</v>
      </c>
      <c r="D19" s="46">
        <f t="array" ref="D19">IFERROR(INDEX(InvoiceDetails[],SMALL(IF(InvoiceDetails[Invoice '#]=rngInvoice,ROW(InvoiceDetails[])-ROW(InvoiceDetails[#Headers])), ROW(11:11)), MATCH($D$10, InvoiceDetails[#Headers], 0)),"")</f>
        <v>716</v>
      </c>
      <c r="E19" s="83">
        <f t="array" ref="E19">IFERROR(INDEX(InvoiceDetails[],SMALL(IF(InvoiceDetails[Invoice '#]=rngInvoice,ROW(InvoiceDetails[])-ROW(InvoiceDetails[#Headers])), ROW(11:11)), MATCH($E$10, InvoiceDetails[#Headers], 0)),"")</f>
        <v>30</v>
      </c>
      <c r="F19" s="95">
        <f t="array" ref="F19">IFERROR(INDEX(InvoiceDetails[],SMALL(IF(InvoiceDetails[Invoice '#]=rngInvoice,ROW(InvoiceDetails[])-ROW(InvoiceDetails[#Headers])), ROW(11:11)), MATCH($F$10, InvoiceDetails[#Headers], 0)),"")</f>
        <v>0</v>
      </c>
      <c r="G19" s="82">
        <f t="shared" si="0"/>
        <v>21480</v>
      </c>
      <c r="H19" s="44"/>
    </row>
    <row r="20" spans="2:8" s="2" customFormat="1" ht="34.049999999999997" customHeight="1" x14ac:dyDescent="0.3">
      <c r="B20" s="6" t="str">
        <f t="array" ref="B20">IFERROR(INDEX(InvoiceDetails[],SMALL(IF(InvoiceDetails[Invoice '#]=rngInvoice,ROW(InvoiceDetails[])-ROW(InvoiceDetails[#Headers])), ROW(12:12)), MATCH($B$10, InvoiceDetails[#Headers], 0)),"")</f>
        <v>ED-IND-WI83S-42</v>
      </c>
      <c r="C20" s="7" t="str">
        <f t="array" ref="C20">IFERROR(INDEX(InvoiceDetails[],SMALL(IF(InvoiceDetails[Invoice '#]=rngInvoice,ROW(InvoiceDetails[])-ROW(InvoiceDetails[#Headers])), ROW(12:12)), MATCH($C$10, InvoiceDetails[#Headers], 0)),"")</f>
        <v>INV-2302-036</v>
      </c>
      <c r="D20" s="46">
        <f t="array" ref="D20">IFERROR(INDEX(InvoiceDetails[],SMALL(IF(InvoiceDetails[Invoice '#]=rngInvoice,ROW(InvoiceDetails[])-ROW(InvoiceDetails[#Headers])), ROW(12:12)), MATCH($D$10, InvoiceDetails[#Headers], 0)),"")</f>
        <v>820</v>
      </c>
      <c r="E20" s="83">
        <f t="array" ref="E20">IFERROR(INDEX(InvoiceDetails[],SMALL(IF(InvoiceDetails[Invoice '#]=rngInvoice,ROW(InvoiceDetails[])-ROW(InvoiceDetails[#Headers])), ROW(12:12)), MATCH($E$10, InvoiceDetails[#Headers], 0)),"")</f>
        <v>28</v>
      </c>
      <c r="F20" s="95">
        <f t="array" ref="F20">IFERROR(INDEX(InvoiceDetails[],SMALL(IF(InvoiceDetails[Invoice '#]=rngInvoice,ROW(InvoiceDetails[])-ROW(InvoiceDetails[#Headers])), ROW(12:12)), MATCH($F$10, InvoiceDetails[#Headers], 0)),"")</f>
        <v>0</v>
      </c>
      <c r="G20" s="82">
        <f t="shared" si="0"/>
        <v>22960</v>
      </c>
      <c r="H20" s="44"/>
    </row>
    <row r="21" spans="2:8" s="2" customFormat="1" ht="34.049999999999997" customHeight="1" x14ac:dyDescent="0.3">
      <c r="B21" s="6" t="str">
        <f t="array" ref="B21">IFERROR(INDEX(InvoiceDetails[],SMALL(IF(InvoiceDetails[Invoice '#]=rngInvoice,ROW(InvoiceDetails[])-ROW(InvoiceDetails[#Headers])), ROW(13:13)), MATCH($B$10, InvoiceDetails[#Headers], 0)),"")</f>
        <v>ED-IND-ZU15L-03</v>
      </c>
      <c r="C21" s="7" t="str">
        <f t="array" ref="C21">IFERROR(INDEX(InvoiceDetails[],SMALL(IF(InvoiceDetails[Invoice '#]=rngInvoice,ROW(InvoiceDetails[])-ROW(InvoiceDetails[#Headers])), ROW(13:13)), MATCH($C$10, InvoiceDetails[#Headers], 0)),"")</f>
        <v>INV-2302-037</v>
      </c>
      <c r="D21" s="46">
        <f t="array" ref="D21">IFERROR(INDEX(InvoiceDetails[],SMALL(IF(InvoiceDetails[Invoice '#]=rngInvoice,ROW(InvoiceDetails[])-ROW(InvoiceDetails[#Headers])), ROW(13:13)), MATCH($D$10, InvoiceDetails[#Headers], 0)),"")</f>
        <v>993</v>
      </c>
      <c r="E21" s="83">
        <f t="array" ref="E21">IFERROR(INDEX(InvoiceDetails[],SMALL(IF(InvoiceDetails[Invoice '#]=rngInvoice,ROW(InvoiceDetails[])-ROW(InvoiceDetails[#Headers])), ROW(13:13)), MATCH($E$10, InvoiceDetails[#Headers], 0)),"")</f>
        <v>31</v>
      </c>
      <c r="F21" s="95">
        <f t="array" ref="F21">IFERROR(INDEX(InvoiceDetails[],SMALL(IF(InvoiceDetails[Invoice '#]=rngInvoice,ROW(InvoiceDetails[])-ROW(InvoiceDetails[#Headers])), ROW(13:13)), MATCH($F$10, InvoiceDetails[#Headers], 0)),"")</f>
        <v>0</v>
      </c>
      <c r="G21" s="82">
        <f t="shared" si="0"/>
        <v>30783</v>
      </c>
      <c r="H21" s="44"/>
    </row>
    <row r="22" spans="2:8" s="2" customFormat="1" ht="34.049999999999997" customHeight="1" x14ac:dyDescent="0.3">
      <c r="B22" s="6" t="str">
        <f t="array" ref="B22">IFERROR(INDEX(InvoiceDetails[],SMALL(IF(InvoiceDetails[Invoice '#]=rngInvoice,ROW(InvoiceDetails[])-ROW(InvoiceDetails[#Headers])), ROW(14:14)), MATCH($B$10, InvoiceDetails[#Headers], 0)),"")</f>
        <v/>
      </c>
      <c r="C22" s="7" t="str">
        <f t="array" ref="C22">IFERROR(INDEX(InvoiceDetails[],SMALL(IF(InvoiceDetails[Invoice '#]=rngInvoice,ROW(InvoiceDetails[])-ROW(InvoiceDetails[#Headers])), ROW(14:14)), MATCH($C$10, InvoiceDetails[#Headers], 0)),"")</f>
        <v/>
      </c>
      <c r="D22" s="46" t="str">
        <f t="array" ref="D22">IFERROR(INDEX(InvoiceDetails[],SMALL(IF(InvoiceDetails[Invoice '#]=rngInvoice,ROW(InvoiceDetails[])-ROW(InvoiceDetails[#Headers])), ROW(14:14)), MATCH($D$10, InvoiceDetails[#Headers], 0)),"")</f>
        <v/>
      </c>
      <c r="E22" s="83" t="str">
        <f t="array" ref="E22">IFERROR(INDEX(InvoiceDetails[],SMALL(IF(InvoiceDetails[Invoice '#]=rngInvoice,ROW(InvoiceDetails[])-ROW(InvoiceDetails[#Headers])), ROW(14:14)), MATCH($E$10, InvoiceDetails[#Headers], 0)),"")</f>
        <v/>
      </c>
      <c r="F22" s="95" t="str">
        <f t="array" ref="F22">IFERROR(INDEX(InvoiceDetails[],SMALL(IF(InvoiceDetails[Invoice '#]=rngInvoice,ROW(InvoiceDetails[])-ROW(InvoiceDetails[#Headers])), ROW(14:14)), MATCH($F$10, InvoiceDetails[#Headers], 0)),"")</f>
        <v/>
      </c>
      <c r="G22" s="82" t="str">
        <f t="shared" si="0"/>
        <v/>
      </c>
      <c r="H22" s="44"/>
    </row>
    <row r="23" spans="2:8" s="2" customFormat="1" ht="34.049999999999997" customHeight="1" x14ac:dyDescent="0.3">
      <c r="B23" s="6" t="str">
        <f t="array" ref="B23">IFERROR(INDEX(InvoiceDetails[],SMALL(IF(InvoiceDetails[Invoice '#]=rngInvoice,ROW(InvoiceDetails[])-ROW(InvoiceDetails[#Headers])), ROW(15:15)), MATCH($B$10, InvoiceDetails[#Headers], 0)),"")</f>
        <v/>
      </c>
      <c r="C23" s="7" t="str">
        <f t="array" ref="C23">IFERROR(INDEX(InvoiceDetails[],SMALL(IF(InvoiceDetails[Invoice '#]=rngInvoice,ROW(InvoiceDetails[])-ROW(InvoiceDetails[#Headers])), ROW(15:15)), MATCH($C$10, InvoiceDetails[#Headers], 0)),"")</f>
        <v/>
      </c>
      <c r="D23" s="46" t="str">
        <f t="array" ref="D23">IFERROR(INDEX(InvoiceDetails[],SMALL(IF(InvoiceDetails[Invoice '#]=rngInvoice,ROW(InvoiceDetails[])-ROW(InvoiceDetails[#Headers])), ROW(15:15)), MATCH($D$10, InvoiceDetails[#Headers], 0)),"")</f>
        <v/>
      </c>
      <c r="E23" s="83" t="str">
        <f t="array" ref="E23">IFERROR(INDEX(InvoiceDetails[],SMALL(IF(InvoiceDetails[Invoice '#]=rngInvoice,ROW(InvoiceDetails[])-ROW(InvoiceDetails[#Headers])), ROW(15:15)), MATCH($E$10, InvoiceDetails[#Headers], 0)),"")</f>
        <v/>
      </c>
      <c r="F23" s="95" t="str">
        <f t="array" ref="F23">IFERROR(INDEX(InvoiceDetails[],SMALL(IF(InvoiceDetails[Invoice '#]=rngInvoice,ROW(InvoiceDetails[])-ROW(InvoiceDetails[#Headers])), ROW(15:15)), MATCH($F$10, InvoiceDetails[#Headers], 0)),"")</f>
        <v/>
      </c>
      <c r="G23" s="82" t="str">
        <f t="shared" si="0"/>
        <v/>
      </c>
      <c r="H23" s="44"/>
    </row>
    <row r="24" spans="2:8" s="2" customFormat="1" ht="34.049999999999997" customHeight="1" x14ac:dyDescent="0.3">
      <c r="B24" s="48" t="str">
        <f t="array" ref="B24">IFERROR(INDEX(InvoiceDetails[],SMALL(IF(InvoiceDetails[Invoice '#]=rngInvoice,ROW(InvoiceDetails[])-ROW(InvoiceDetails[#Headers])), ROW(16:16)), MATCH($B$10, InvoiceDetails[#Headers], 0)),"")</f>
        <v/>
      </c>
      <c r="C24" s="49" t="str">
        <f t="array" ref="C24">IFERROR(INDEX(InvoiceDetails[],SMALL(IF(InvoiceDetails[Invoice '#]=rngInvoice,ROW(InvoiceDetails[])-ROW(InvoiceDetails[#Headers])), ROW(16:16)), MATCH($C$10, InvoiceDetails[#Headers], 0)),"")</f>
        <v/>
      </c>
      <c r="D24" s="50" t="str">
        <f t="array" ref="D24">IFERROR(INDEX(InvoiceDetails[],SMALL(IF(InvoiceDetails[Invoice '#]=rngInvoice,ROW(InvoiceDetails[])-ROW(InvoiceDetails[#Headers])), ROW(16:16)), MATCH($D$10, InvoiceDetails[#Headers], 0)),"")</f>
        <v/>
      </c>
      <c r="E24" s="82" t="str">
        <f t="array" ref="E24">IFERROR(INDEX(InvoiceDetails[],SMALL(IF(InvoiceDetails[Invoice '#]=rngInvoice,ROW(InvoiceDetails[])-ROW(InvoiceDetails[#Headers])), ROW(16:16)), MATCH($E$10, InvoiceDetails[#Headers], 0)),"")</f>
        <v/>
      </c>
      <c r="F24" s="94" t="str">
        <f t="array" ref="F24">IFERROR(INDEX(InvoiceDetails[],SMALL(IF(InvoiceDetails[Invoice '#]=rngInvoice,ROW(InvoiceDetails[])-ROW(InvoiceDetails[#Headers])), ROW(16:16)), MATCH($F$10, InvoiceDetails[#Headers], 0)),"")</f>
        <v/>
      </c>
      <c r="G24" s="82" t="str">
        <f t="shared" si="0"/>
        <v/>
      </c>
      <c r="H24" s="44"/>
    </row>
    <row r="25" spans="2:8" s="2" customFormat="1" ht="34.049999999999997" customHeight="1" x14ac:dyDescent="0.3">
      <c r="B25" s="6" t="str">
        <f t="array" ref="B25">IFERROR(INDEX(InvoiceDetails[],SMALL(IF(InvoiceDetails[Invoice '#]=rngInvoice,ROW(InvoiceDetails[])-ROW(InvoiceDetails[#Headers])), ROW(27:27)), MATCH($B$10, InvoiceDetails[#Headers], 0)),"")</f>
        <v/>
      </c>
      <c r="C25" s="7" t="str">
        <f t="array" ref="C25">IFERROR(INDEX(InvoiceDetails[],SMALL(IF(InvoiceDetails[Invoice '#]=rngInvoice,ROW(InvoiceDetails[])-ROW(InvoiceDetails[#Headers])), ROW(27:27)), MATCH($C$10, InvoiceDetails[#Headers], 0)),"")</f>
        <v/>
      </c>
      <c r="D25" s="46" t="str">
        <f t="array" ref="D25">IFERROR(INDEX(InvoiceDetails[],SMALL(IF(InvoiceDetails[Invoice '#]=rngInvoice,ROW(InvoiceDetails[])-ROW(InvoiceDetails[#Headers])), ROW(27:27)), MATCH($D$10, InvoiceDetails[#Headers], 0)),"")</f>
        <v/>
      </c>
      <c r="E25" s="83" t="str">
        <f t="array" ref="E25">IFERROR(INDEX(InvoiceDetails[],SMALL(IF(InvoiceDetails[Invoice '#]=rngInvoice,ROW(InvoiceDetails[])-ROW(InvoiceDetails[#Headers])), ROW(27:27)), MATCH($E$10, InvoiceDetails[#Headers], 0)),"")</f>
        <v/>
      </c>
      <c r="F25" s="95" t="str">
        <f t="array" ref="F25">IFERROR(INDEX(InvoiceDetails[],SMALL(IF(InvoiceDetails[Invoice '#]=rngInvoice,ROW(InvoiceDetails[])-ROW(InvoiceDetails[#Headers])), ROW(27:27)), MATCH($F$10, InvoiceDetails[#Headers], 0)),"")</f>
        <v/>
      </c>
      <c r="G25" s="82" t="str">
        <f t="shared" si="0"/>
        <v/>
      </c>
      <c r="H25" s="44"/>
    </row>
    <row r="26" spans="2:8" s="2" customFormat="1" ht="34.049999999999997" customHeight="1" x14ac:dyDescent="0.3">
      <c r="B26" s="27"/>
      <c r="C26" s="27"/>
      <c r="D26" s="3"/>
      <c r="E26" s="84"/>
      <c r="F26" s="96" t="s">
        <v>6</v>
      </c>
      <c r="G26" s="96">
        <f>SUM(ProjectInvoice[Price])</f>
        <v>251714</v>
      </c>
      <c r="H26" s="44"/>
    </row>
    <row r="27" spans="2:8" s="2" customFormat="1" ht="34.049999999999997" customHeight="1" x14ac:dyDescent="0.3">
      <c r="B27" s="27"/>
      <c r="C27" s="27"/>
      <c r="D27" s="3"/>
      <c r="E27" s="84"/>
      <c r="F27" s="96" t="s">
        <v>7</v>
      </c>
      <c r="G27" s="96" t="e">
        <f>VLOOKUP(rngInvoice,#REF!,5)</f>
        <v>#REF!</v>
      </c>
      <c r="H27" s="44"/>
    </row>
    <row r="28" spans="2:8" s="2" customFormat="1" ht="34.049999999999997" customHeight="1" x14ac:dyDescent="0.3">
      <c r="B28" s="27"/>
      <c r="C28" s="27"/>
      <c r="D28" s="3"/>
      <c r="E28" s="84"/>
      <c r="F28" s="96" t="s">
        <v>8</v>
      </c>
      <c r="G28" s="96" t="e">
        <f>G26*G27</f>
        <v>#REF!</v>
      </c>
      <c r="H28" s="44"/>
    </row>
    <row r="29" spans="2:8" s="2" customFormat="1" ht="34.049999999999997" customHeight="1" x14ac:dyDescent="0.3">
      <c r="B29" s="27"/>
      <c r="C29" s="27"/>
      <c r="D29" s="27"/>
      <c r="E29" s="85"/>
      <c r="F29" s="96" t="s">
        <v>9</v>
      </c>
      <c r="G29" s="96" t="e">
        <f>VLOOKUP(rngInvoice,#REF!,6)</f>
        <v>#REF!</v>
      </c>
      <c r="H29" s="44"/>
    </row>
    <row r="30" spans="2:8" s="2" customFormat="1" ht="34.049999999999997" customHeight="1" thickBot="1" x14ac:dyDescent="0.35">
      <c r="B30" s="28" t="str">
        <f>"Make all checks payable to "&amp;CompanyName&amp;"."</f>
        <v>Make all checks payable to Kumar Coaters.</v>
      </c>
      <c r="C30" s="28"/>
      <c r="D30" s="28"/>
      <c r="E30" s="86"/>
      <c r="F30" s="97" t="s">
        <v>5</v>
      </c>
      <c r="G30" s="96" t="e">
        <f>VLOOKUP(rngInvoice,#REF!,7)</f>
        <v>#REF!</v>
      </c>
      <c r="H30" s="44"/>
    </row>
    <row r="31" spans="2:8" s="2" customFormat="1" ht="34.049999999999997" customHeight="1" thickTop="1" x14ac:dyDescent="0.3">
      <c r="B31" s="47" t="s">
        <v>36</v>
      </c>
      <c r="C31" s="29"/>
      <c r="D31" s="29"/>
      <c r="E31" s="87"/>
      <c r="F31" s="98" t="s">
        <v>0</v>
      </c>
      <c r="G31" s="98" t="e">
        <f>(G26+G28+G29)-G30</f>
        <v>#REF!</v>
      </c>
      <c r="H31" s="44"/>
    </row>
    <row r="32" spans="2:8" s="2" customFormat="1" ht="34.049999999999997" customHeight="1" x14ac:dyDescent="0.3">
      <c r="B32" s="1"/>
      <c r="C32" s="1"/>
      <c r="D32" s="1"/>
      <c r="E32" s="88"/>
      <c r="F32" s="88"/>
      <c r="G32" s="88"/>
      <c r="H32" s="44"/>
    </row>
    <row r="33" spans="2:8" s="2" customFormat="1" ht="34.049999999999997" customHeight="1" x14ac:dyDescent="0.3">
      <c r="B33" s="1"/>
      <c r="C33" s="1"/>
      <c r="D33" s="1"/>
      <c r="E33" s="88"/>
      <c r="F33" s="88"/>
      <c r="G33" s="88"/>
      <c r="H33" s="44"/>
    </row>
    <row r="34" spans="2:8" s="2" customFormat="1" ht="34.049999999999997" customHeight="1" x14ac:dyDescent="0.3">
      <c r="B34" s="1"/>
      <c r="C34" s="1"/>
      <c r="D34" s="1"/>
      <c r="E34" s="88"/>
      <c r="F34" s="88"/>
      <c r="G34" s="88"/>
      <c r="H34" s="44"/>
    </row>
    <row r="35" spans="2:8" s="2" customFormat="1" ht="34.049999999999997" customHeight="1" x14ac:dyDescent="0.3">
      <c r="B35" s="1"/>
      <c r="C35" s="1"/>
      <c r="D35" s="1"/>
      <c r="E35" s="88"/>
      <c r="F35" s="88"/>
      <c r="G35" s="88"/>
      <c r="H35" s="44"/>
    </row>
    <row r="36" spans="2:8" s="2" customFormat="1" ht="34.049999999999997" customHeight="1" x14ac:dyDescent="0.3">
      <c r="B36" s="1"/>
      <c r="C36" s="1"/>
      <c r="D36" s="1"/>
      <c r="E36" s="88"/>
      <c r="F36" s="88"/>
      <c r="G36" s="88"/>
      <c r="H36" s="44"/>
    </row>
    <row r="37" spans="2:8" s="2" customFormat="1" ht="34.049999999999997" customHeight="1" x14ac:dyDescent="0.3">
      <c r="B37" s="1"/>
      <c r="C37" s="1"/>
      <c r="D37" s="1"/>
      <c r="E37" s="88"/>
      <c r="F37" s="88"/>
      <c r="G37" s="88"/>
      <c r="H37" s="44"/>
    </row>
    <row r="38" spans="2:8" s="2" customFormat="1" ht="34.049999999999997" customHeight="1" x14ac:dyDescent="0.3">
      <c r="B38" s="1"/>
      <c r="C38" s="1"/>
      <c r="D38" s="1"/>
      <c r="E38" s="88"/>
      <c r="F38" s="88"/>
      <c r="G38" s="88"/>
      <c r="H38" s="44"/>
    </row>
    <row r="39" spans="2:8" s="2" customFormat="1" ht="34.049999999999997" customHeight="1" x14ac:dyDescent="0.3">
      <c r="B39" s="1"/>
      <c r="C39" s="1"/>
      <c r="D39" s="1"/>
      <c r="E39" s="88"/>
      <c r="F39" s="88"/>
      <c r="G39" s="88"/>
      <c r="H39" s="44"/>
    </row>
    <row r="40" spans="2:8" s="2" customFormat="1" ht="34.049999999999997" customHeight="1" x14ac:dyDescent="0.3">
      <c r="B40" s="1"/>
      <c r="C40" s="1"/>
      <c r="D40" s="1"/>
      <c r="E40" s="88"/>
      <c r="F40" s="88"/>
      <c r="G40" s="88"/>
      <c r="H40" s="44"/>
    </row>
  </sheetData>
  <sheetProtection formatCells="0" formatColumns="0" formatRows="0" selectLockedCells="1" sort="0"/>
  <phoneticPr fontId="2" type="noConversion"/>
  <conditionalFormatting sqref="B11:F25 F26:F30">
    <cfRule type="expression" dxfId="5" priority="7">
      <formula>MOD(ROW(),2)=0</formula>
    </cfRule>
  </conditionalFormatting>
  <conditionalFormatting sqref="G11:G25">
    <cfRule type="expression" dxfId="4" priority="4">
      <formula>MOD(ROW(),2)=0</formula>
    </cfRule>
    <cfRule type="expression" dxfId="3" priority="5">
      <formula>MOD(ROW(),2)=1</formula>
    </cfRule>
  </conditionalFormatting>
  <conditionalFormatting sqref="G26:G30">
    <cfRule type="expression" dxfId="2" priority="1">
      <formula>MOD(ROW(),2)=1</formula>
    </cfRule>
    <cfRule type="expression" dxfId="1" priority="2">
      <formula>MOD(ROW(),2)=0</formula>
    </cfRule>
  </conditionalFormatting>
  <dataValidations count="1">
    <dataValidation type="list" allowBlank="1" showInputMessage="1" showErrorMessage="1" errorTitle="Invalid Data" error="Please select and Invoice number from this list. If your invoice isn't shown, check the worksheet named Invoices - Main." sqref="G6" xr:uid="{00000000-0002-0000-0000-000000000000}">
      <formula1>Invoice_No</formula1>
    </dataValidation>
  </dataValidations>
  <hyperlinks>
    <hyperlink ref="G5" r:id="rId1" xr:uid="{954D8448-CC54-4870-93B3-7690D9A21124}"/>
  </hyperlinks>
  <printOptions horizontalCentered="1"/>
  <pageMargins left="0.7" right="0.7" top="1" bottom="1" header="0.3" footer="0.3"/>
  <pageSetup scale="62" orientation="portrait" horizontalDpi="300" verticalDpi="300" r:id="rId2"/>
  <headerFooter differentFirst="1" alignWithMargins="0">
    <oddFooter>Page &amp;P of &amp;N</oddFooter>
  </headerFooter>
  <ignoredErrors>
    <ignoredError sqref="B11:F24 B25:F25" emptyCellReference="1"/>
  </ignoredError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0.39997558519241921"/>
    <pageSetUpPr autoPageBreaks="0" fitToPage="1"/>
  </sheetPr>
  <dimension ref="A1:H821"/>
  <sheetViews>
    <sheetView showGridLines="0" zoomScaleNormal="100" workbookViewId="0">
      <selection activeCell="J4" sqref="J4"/>
    </sheetView>
  </sheetViews>
  <sheetFormatPr defaultColWidth="9" defaultRowHeight="34.049999999999997" customHeight="1" x14ac:dyDescent="0.3"/>
  <cols>
    <col min="1" max="1" width="2.44140625" customWidth="1"/>
    <col min="2" max="2" width="24.6640625" customWidth="1"/>
    <col min="3" max="3" width="15.6640625" customWidth="1"/>
    <col min="4" max="4" width="15.44140625" customWidth="1"/>
    <col min="5" max="5" width="16" customWidth="1"/>
    <col min="6" max="6" width="15.44140625" style="74" customWidth="1"/>
    <col min="7" max="7" width="15.6640625" style="74" customWidth="1"/>
    <col min="8" max="8" width="13.33203125" style="74" bestFit="1" customWidth="1"/>
    <col min="9" max="9" width="2.77734375" customWidth="1"/>
  </cols>
  <sheetData>
    <row r="1" spans="2:8" s="31" customFormat="1" ht="49.95" customHeight="1" x14ac:dyDescent="0.3">
      <c r="B1" s="115" t="s">
        <v>23</v>
      </c>
      <c r="C1" s="115"/>
      <c r="D1" s="115"/>
      <c r="E1" s="115"/>
      <c r="F1" s="115"/>
      <c r="G1" s="115"/>
      <c r="H1" s="115"/>
    </row>
    <row r="2" spans="2:8" ht="30" customHeight="1" x14ac:dyDescent="0.3">
      <c r="B2" s="114"/>
      <c r="C2" s="114"/>
      <c r="D2" s="114"/>
      <c r="E2" s="114"/>
      <c r="F2" s="114"/>
      <c r="G2" s="114"/>
      <c r="H2" s="114"/>
    </row>
    <row r="3" spans="2:8" s="24" customFormat="1" ht="24" customHeight="1" x14ac:dyDescent="0.3">
      <c r="B3" s="15" t="s">
        <v>1</v>
      </c>
      <c r="C3" s="15" t="s">
        <v>16</v>
      </c>
      <c r="D3" s="15" t="s">
        <v>15</v>
      </c>
      <c r="E3" s="15" t="s">
        <v>11</v>
      </c>
      <c r="F3" s="71" t="s">
        <v>20</v>
      </c>
      <c r="G3" s="71" t="s">
        <v>13</v>
      </c>
      <c r="H3" s="71" t="s">
        <v>17</v>
      </c>
    </row>
    <row r="4" spans="2:8" ht="34.049999999999997" customHeight="1" x14ac:dyDescent="0.3">
      <c r="B4" s="51" t="str">
        <f>'Sales Data'!C3</f>
        <v>INV-2301-001</v>
      </c>
      <c r="C4" s="16" t="s">
        <v>10</v>
      </c>
      <c r="D4" s="16" t="str">
        <f>'Sales Data'!E3</f>
        <v>ED-IND-BF94R-96</v>
      </c>
      <c r="E4" s="52">
        <f>'Sales Data'!G3</f>
        <v>925</v>
      </c>
      <c r="F4" s="72">
        <f>'Sales Data'!H3</f>
        <v>28</v>
      </c>
      <c r="G4" s="72">
        <v>1</v>
      </c>
      <c r="H4" s="72">
        <f>(InvoiceDetails[[#This Row],[Qty]]*InvoiceDetails[[#This Row],[Unit price]])-InvoiceDetails[[#This Row],[Discount]]</f>
        <v>25899</v>
      </c>
    </row>
    <row r="5" spans="2:8" ht="34.049999999999997" customHeight="1" x14ac:dyDescent="0.3">
      <c r="B5" s="51" t="str">
        <f>'Sales Data'!C4</f>
        <v>INV-2301-002</v>
      </c>
      <c r="C5" s="16" t="s">
        <v>19</v>
      </c>
      <c r="D5" s="16" t="str">
        <f>'Sales Data'!E4</f>
        <v>PC-IND-ES58E-77</v>
      </c>
      <c r="E5" s="52">
        <f>'Sales Data'!G4</f>
        <v>717</v>
      </c>
      <c r="F5" s="72">
        <f>'Sales Data'!H4</f>
        <v>30</v>
      </c>
      <c r="G5" s="72">
        <v>2</v>
      </c>
      <c r="H5" s="72">
        <f>(InvoiceDetails[[#This Row],[Qty]]*InvoiceDetails[[#This Row],[Unit price]])-InvoiceDetails[[#This Row],[Discount]]</f>
        <v>21508</v>
      </c>
    </row>
    <row r="6" spans="2:8" ht="34.049999999999997" customHeight="1" x14ac:dyDescent="0.3">
      <c r="B6" s="51" t="str">
        <f>'Sales Data'!C5</f>
        <v>INV-2301-003</v>
      </c>
      <c r="C6" s="16" t="s">
        <v>10</v>
      </c>
      <c r="D6" s="16" t="str">
        <f>'Sales Data'!E5</f>
        <v>ED-IND-PW28Y-87</v>
      </c>
      <c r="E6" s="52">
        <f>'Sales Data'!G5</f>
        <v>502</v>
      </c>
      <c r="F6" s="72">
        <f>'Sales Data'!H5</f>
        <v>26</v>
      </c>
      <c r="G6" s="72">
        <v>3</v>
      </c>
      <c r="H6" s="72">
        <f>(InvoiceDetails[[#This Row],[Qty]]*InvoiceDetails[[#This Row],[Unit price]])-InvoiceDetails[[#This Row],[Discount]]</f>
        <v>13049</v>
      </c>
    </row>
    <row r="7" spans="2:8" ht="34.049999999999997" customHeight="1" x14ac:dyDescent="0.3">
      <c r="B7" s="51" t="str">
        <f>'Sales Data'!C6</f>
        <v>INV-2301-004</v>
      </c>
      <c r="C7" s="16" t="s">
        <v>10</v>
      </c>
      <c r="D7" s="16" t="str">
        <f>'Sales Data'!E6</f>
        <v>ED-IND-FH42M-31</v>
      </c>
      <c r="E7" s="52">
        <f>'Sales Data'!G6</f>
        <v>914</v>
      </c>
      <c r="F7" s="72">
        <f>'Sales Data'!H6</f>
        <v>25</v>
      </c>
      <c r="G7" s="72">
        <v>4</v>
      </c>
      <c r="H7" s="72">
        <f>(InvoiceDetails[[#This Row],[Qty]]*InvoiceDetails[[#This Row],[Unit price]])-InvoiceDetails[[#This Row],[Discount]]</f>
        <v>22846</v>
      </c>
    </row>
    <row r="8" spans="2:8" ht="34.049999999999997" customHeight="1" x14ac:dyDescent="0.3">
      <c r="B8" s="51" t="str">
        <f>'Sales Data'!C7</f>
        <v>INV-2301-005</v>
      </c>
      <c r="C8" s="16" t="s">
        <v>10</v>
      </c>
      <c r="D8" s="16" t="str">
        <f>'Sales Data'!E7</f>
        <v>ED-IND-DG79M-42</v>
      </c>
      <c r="E8" s="52">
        <f>'Sales Data'!G7</f>
        <v>542</v>
      </c>
      <c r="F8" s="72">
        <f>'Sales Data'!H7</f>
        <v>25</v>
      </c>
      <c r="G8" s="72">
        <v>5</v>
      </c>
      <c r="H8" s="72">
        <f>(InvoiceDetails[[#This Row],[Qty]]*InvoiceDetails[[#This Row],[Unit price]])-InvoiceDetails[[#This Row],[Discount]]</f>
        <v>13545</v>
      </c>
    </row>
    <row r="9" spans="2:8" ht="34.049999999999997" customHeight="1" x14ac:dyDescent="0.3">
      <c r="B9" s="51" t="str">
        <f>'Sales Data'!C8</f>
        <v>INV-2301-006</v>
      </c>
      <c r="C9" s="16" t="s">
        <v>10</v>
      </c>
      <c r="D9" s="16" t="str">
        <f>'Sales Data'!E8</f>
        <v>ED-IND-UE60O-04</v>
      </c>
      <c r="E9" s="52">
        <f>'Sales Data'!G8</f>
        <v>854</v>
      </c>
      <c r="F9" s="72">
        <f>'Sales Data'!H8</f>
        <v>23</v>
      </c>
      <c r="G9" s="72">
        <v>6</v>
      </c>
      <c r="H9" s="72">
        <f>(InvoiceDetails[[#This Row],[Qty]]*InvoiceDetails[[#This Row],[Unit price]])-InvoiceDetails[[#This Row],[Discount]]</f>
        <v>19636</v>
      </c>
    </row>
    <row r="10" spans="2:8" ht="34.049999999999997" customHeight="1" x14ac:dyDescent="0.3">
      <c r="B10" s="51" t="str">
        <f>'Sales Data'!C9</f>
        <v>INV-2301-007</v>
      </c>
      <c r="C10" s="16" t="s">
        <v>10</v>
      </c>
      <c r="D10" s="16" t="str">
        <f>'Sales Data'!E9</f>
        <v>ED-IND-LN87Z-82</v>
      </c>
      <c r="E10" s="52">
        <f>'Sales Data'!G9</f>
        <v>677</v>
      </c>
      <c r="F10" s="72">
        <f>'Sales Data'!H9</f>
        <v>24</v>
      </c>
      <c r="G10" s="72">
        <v>7</v>
      </c>
      <c r="H10" s="72">
        <f>(InvoiceDetails[[#This Row],[Qty]]*InvoiceDetails[[#This Row],[Unit price]])-InvoiceDetails[[#This Row],[Discount]]</f>
        <v>16241</v>
      </c>
    </row>
    <row r="11" spans="2:8" ht="34.049999999999997" customHeight="1" x14ac:dyDescent="0.3">
      <c r="B11" s="51" t="str">
        <f>'Sales Data'!C10</f>
        <v>INV-2301-008</v>
      </c>
      <c r="C11" s="16" t="s">
        <v>10</v>
      </c>
      <c r="D11" s="16" t="str">
        <f>'Sales Data'!E10</f>
        <v>ED-IND-FF18D-36</v>
      </c>
      <c r="E11" s="52">
        <f>'Sales Data'!G10</f>
        <v>706</v>
      </c>
      <c r="F11" s="72">
        <f>'Sales Data'!H10</f>
        <v>26</v>
      </c>
      <c r="G11" s="72">
        <v>8</v>
      </c>
      <c r="H11" s="72">
        <f>(InvoiceDetails[[#This Row],[Qty]]*InvoiceDetails[[#This Row],[Unit price]])-InvoiceDetails[[#This Row],[Discount]]</f>
        <v>18348</v>
      </c>
    </row>
    <row r="12" spans="2:8" ht="34.049999999999997" customHeight="1" x14ac:dyDescent="0.3">
      <c r="B12" s="51" t="str">
        <f>'Sales Data'!C11</f>
        <v>INV-2301-009</v>
      </c>
      <c r="C12" s="16" t="s">
        <v>10</v>
      </c>
      <c r="D12" s="16" t="str">
        <f>'Sales Data'!E11</f>
        <v>ED-IND-MV42W-01</v>
      </c>
      <c r="E12" s="52">
        <f>'Sales Data'!G11</f>
        <v>877</v>
      </c>
      <c r="F12" s="72">
        <f>'Sales Data'!H11</f>
        <v>26</v>
      </c>
      <c r="G12" s="72">
        <v>9</v>
      </c>
      <c r="H12" s="72">
        <f>(InvoiceDetails[[#This Row],[Qty]]*InvoiceDetails[[#This Row],[Unit price]])-InvoiceDetails[[#This Row],[Discount]]</f>
        <v>22793</v>
      </c>
    </row>
    <row r="13" spans="2:8" ht="34.049999999999997" customHeight="1" x14ac:dyDescent="0.3">
      <c r="B13" s="51" t="str">
        <f>'Sales Data'!C12</f>
        <v>INV-2301-010</v>
      </c>
      <c r="C13" s="16" t="s">
        <v>10</v>
      </c>
      <c r="D13" s="16" t="str">
        <f>'Sales Data'!E12</f>
        <v>ED-IND-NU37O-73</v>
      </c>
      <c r="E13" s="52">
        <f>'Sales Data'!G12</f>
        <v>635</v>
      </c>
      <c r="F13" s="72">
        <f>'Sales Data'!H12</f>
        <v>22</v>
      </c>
      <c r="G13" s="72">
        <v>10</v>
      </c>
      <c r="H13" s="72">
        <f>(InvoiceDetails[[#This Row],[Qty]]*InvoiceDetails[[#This Row],[Unit price]])-InvoiceDetails[[#This Row],[Discount]]</f>
        <v>13960</v>
      </c>
    </row>
    <row r="14" spans="2:8" ht="34.049999999999997" customHeight="1" x14ac:dyDescent="0.3">
      <c r="B14" s="51" t="str">
        <f>'Sales Data'!C13</f>
        <v>INV-2301-011</v>
      </c>
      <c r="C14" s="16" t="s">
        <v>10</v>
      </c>
      <c r="D14" s="16" t="str">
        <f>'Sales Data'!E13</f>
        <v>ED-IND-XH20D-48</v>
      </c>
      <c r="E14" s="52">
        <f>'Sales Data'!G13</f>
        <v>809</v>
      </c>
      <c r="F14" s="72">
        <f>'Sales Data'!H13</f>
        <v>31</v>
      </c>
      <c r="G14" s="72">
        <v>11</v>
      </c>
      <c r="H14" s="72">
        <f>(InvoiceDetails[[#This Row],[Qty]]*InvoiceDetails[[#This Row],[Unit price]])-InvoiceDetails[[#This Row],[Discount]]</f>
        <v>25068</v>
      </c>
    </row>
    <row r="15" spans="2:8" ht="34.049999999999997" customHeight="1" x14ac:dyDescent="0.3">
      <c r="B15" s="51" t="str">
        <f>'Sales Data'!C14</f>
        <v>INV-2301-012</v>
      </c>
      <c r="C15" s="16" t="s">
        <v>10</v>
      </c>
      <c r="D15" s="16" t="str">
        <f>'Sales Data'!E14</f>
        <v>PC-IND-QG66C-31</v>
      </c>
      <c r="E15" s="52">
        <f>'Sales Data'!G14</f>
        <v>994</v>
      </c>
      <c r="F15" s="72">
        <f>'Sales Data'!H14</f>
        <v>27</v>
      </c>
      <c r="G15" s="72">
        <v>12</v>
      </c>
      <c r="H15" s="72">
        <f>(InvoiceDetails[[#This Row],[Qty]]*InvoiceDetails[[#This Row],[Unit price]])-InvoiceDetails[[#This Row],[Discount]]</f>
        <v>26826</v>
      </c>
    </row>
    <row r="16" spans="2:8" ht="34.049999999999997" customHeight="1" x14ac:dyDescent="0.3">
      <c r="B16" s="51" t="str">
        <f>'Sales Data'!C15</f>
        <v>INV-2301-013</v>
      </c>
      <c r="C16" s="16" t="s">
        <v>10</v>
      </c>
      <c r="D16" s="16" t="str">
        <f>'Sales Data'!E15</f>
        <v>PC-IND-MT94P-31</v>
      </c>
      <c r="E16" s="52">
        <f>'Sales Data'!G15</f>
        <v>871</v>
      </c>
      <c r="F16" s="72">
        <f>'Sales Data'!H15</f>
        <v>23</v>
      </c>
      <c r="G16" s="72">
        <v>13</v>
      </c>
      <c r="H16" s="72">
        <f>(InvoiceDetails[[#This Row],[Qty]]*InvoiceDetails[[#This Row],[Unit price]])-InvoiceDetails[[#This Row],[Discount]]</f>
        <v>20020</v>
      </c>
    </row>
    <row r="17" spans="1:8" ht="34.049999999999997" customHeight="1" x14ac:dyDescent="0.3">
      <c r="B17" s="51" t="str">
        <f>'Sales Data'!C16</f>
        <v>INV-2301-014</v>
      </c>
      <c r="C17" s="16" t="s">
        <v>10</v>
      </c>
      <c r="D17" s="16" t="str">
        <f>'Sales Data'!E16</f>
        <v>ED-IND-PU51D-51</v>
      </c>
      <c r="E17" s="52">
        <f>'Sales Data'!G16</f>
        <v>708</v>
      </c>
      <c r="F17" s="72">
        <f>'Sales Data'!H16</f>
        <v>28</v>
      </c>
      <c r="G17" s="72">
        <v>14</v>
      </c>
      <c r="H17" s="72">
        <f>(InvoiceDetails[[#This Row],[Qty]]*InvoiceDetails[[#This Row],[Unit price]])-InvoiceDetails[[#This Row],[Discount]]</f>
        <v>19810</v>
      </c>
    </row>
    <row r="18" spans="1:8" ht="34.049999999999997" customHeight="1" x14ac:dyDescent="0.3">
      <c r="B18" s="51" t="str">
        <f>'Sales Data'!C17</f>
        <v>INV-2301-015</v>
      </c>
      <c r="C18" s="16" t="s">
        <v>10</v>
      </c>
      <c r="D18" s="16" t="str">
        <f>'Sales Data'!E17</f>
        <v>ED-IND-RA85P-82</v>
      </c>
      <c r="E18" s="52">
        <f>'Sales Data'!G17</f>
        <v>555</v>
      </c>
      <c r="F18" s="72">
        <f>'Sales Data'!H17</f>
        <v>25</v>
      </c>
      <c r="G18" s="72">
        <v>15</v>
      </c>
      <c r="H18" s="72">
        <f>(InvoiceDetails[[#This Row],[Qty]]*InvoiceDetails[[#This Row],[Unit price]])-InvoiceDetails[[#This Row],[Discount]]</f>
        <v>13860</v>
      </c>
    </row>
    <row r="19" spans="1:8" ht="34.049999999999997" customHeight="1" x14ac:dyDescent="0.3">
      <c r="B19" s="51" t="str">
        <f>'Sales Data'!C18</f>
        <v>INV-2301-016</v>
      </c>
      <c r="C19" s="16" t="s">
        <v>10</v>
      </c>
      <c r="D19" s="16" t="str">
        <f>'Sales Data'!E18</f>
        <v>PC-IND-PR64F-72</v>
      </c>
      <c r="E19" s="52">
        <f>'Sales Data'!G18</f>
        <v>875</v>
      </c>
      <c r="F19" s="72">
        <f>'Sales Data'!H18</f>
        <v>27</v>
      </c>
      <c r="G19" s="72">
        <v>16</v>
      </c>
      <c r="H19" s="72">
        <f>(InvoiceDetails[[#This Row],[Qty]]*InvoiceDetails[[#This Row],[Unit price]])-InvoiceDetails[[#This Row],[Discount]]</f>
        <v>23609</v>
      </c>
    </row>
    <row r="20" spans="1:8" ht="34.049999999999997" customHeight="1" x14ac:dyDescent="0.3">
      <c r="B20" s="51" t="str">
        <f>'Sales Data'!C19</f>
        <v>INV-2301-017</v>
      </c>
      <c r="C20" s="16" t="s">
        <v>10</v>
      </c>
      <c r="D20" s="16" t="str">
        <f>'Sales Data'!E19</f>
        <v>ED-IND-AI38B-83</v>
      </c>
      <c r="E20" s="52">
        <f>'Sales Data'!G19</f>
        <v>749</v>
      </c>
      <c r="F20" s="72">
        <f>'Sales Data'!H19</f>
        <v>26</v>
      </c>
      <c r="G20" s="72">
        <v>17</v>
      </c>
      <c r="H20" s="72">
        <f>(InvoiceDetails[[#This Row],[Qty]]*InvoiceDetails[[#This Row],[Unit price]])-InvoiceDetails[[#This Row],[Discount]]</f>
        <v>19457</v>
      </c>
    </row>
    <row r="21" spans="1:8" ht="34.049999999999997" customHeight="1" x14ac:dyDescent="0.3">
      <c r="A21" s="30"/>
      <c r="B21" s="51" t="str">
        <f>'Sales Data'!C20</f>
        <v>INV-2301-018</v>
      </c>
      <c r="C21" s="16" t="s">
        <v>10</v>
      </c>
      <c r="D21" s="16" t="str">
        <f>'Sales Data'!E20</f>
        <v>ED-IND-CA22V-33</v>
      </c>
      <c r="E21" s="52">
        <f>'Sales Data'!G20</f>
        <v>970</v>
      </c>
      <c r="F21" s="72">
        <f>'Sales Data'!H20</f>
        <v>30</v>
      </c>
      <c r="G21" s="72">
        <v>18</v>
      </c>
      <c r="H21" s="72">
        <f>(InvoiceDetails[[#This Row],[Qty]]*InvoiceDetails[[#This Row],[Unit price]])-InvoiceDetails[[#This Row],[Discount]]</f>
        <v>29082</v>
      </c>
    </row>
    <row r="22" spans="1:8" ht="34.049999999999997" customHeight="1" x14ac:dyDescent="0.3">
      <c r="A22" s="30"/>
      <c r="B22" s="51" t="str">
        <f>'Sales Data'!C21</f>
        <v>INV-2301-019</v>
      </c>
      <c r="C22" s="16" t="s">
        <v>10</v>
      </c>
      <c r="D22" s="16" t="str">
        <f>'Sales Data'!E21</f>
        <v>ED-IND-FO54G-12</v>
      </c>
      <c r="E22" s="52">
        <f>'Sales Data'!G21</f>
        <v>791</v>
      </c>
      <c r="F22" s="72">
        <f>'Sales Data'!H21</f>
        <v>27</v>
      </c>
      <c r="G22" s="72">
        <v>19</v>
      </c>
      <c r="H22" s="72">
        <f>(InvoiceDetails[[#This Row],[Qty]]*InvoiceDetails[[#This Row],[Unit price]])-InvoiceDetails[[#This Row],[Discount]]</f>
        <v>21338</v>
      </c>
    </row>
    <row r="23" spans="1:8" ht="34.049999999999997" customHeight="1" x14ac:dyDescent="0.3">
      <c r="A23" s="30"/>
      <c r="B23" s="51" t="str">
        <f>'Sales Data'!C22</f>
        <v>INV-2301-020</v>
      </c>
      <c r="C23" s="16" t="s">
        <v>10</v>
      </c>
      <c r="D23" s="16" t="str">
        <f>'Sales Data'!E22</f>
        <v>ED-IND-ML26H-86</v>
      </c>
      <c r="E23" s="52">
        <f>'Sales Data'!G22</f>
        <v>926</v>
      </c>
      <c r="F23" s="72">
        <f>'Sales Data'!H22</f>
        <v>21</v>
      </c>
      <c r="G23" s="72">
        <v>20</v>
      </c>
      <c r="H23" s="72">
        <f>(InvoiceDetails[[#This Row],[Qty]]*InvoiceDetails[[#This Row],[Unit price]])-InvoiceDetails[[#This Row],[Discount]]</f>
        <v>19426</v>
      </c>
    </row>
    <row r="24" spans="1:8" ht="34.049999999999997" customHeight="1" x14ac:dyDescent="0.3">
      <c r="A24" s="30"/>
      <c r="B24" s="51" t="str">
        <f>'Sales Data'!C23</f>
        <v>INV-2301-021</v>
      </c>
      <c r="C24" s="16" t="s">
        <v>10</v>
      </c>
      <c r="D24" s="16" t="str">
        <f>'Sales Data'!E23</f>
        <v>ED-IND-FX95F-95</v>
      </c>
      <c r="E24" s="52">
        <f>'Sales Data'!G23</f>
        <v>543</v>
      </c>
      <c r="F24" s="72">
        <f>'Sales Data'!H23</f>
        <v>22</v>
      </c>
      <c r="G24" s="72">
        <v>21</v>
      </c>
      <c r="H24" s="72">
        <f>(InvoiceDetails[[#This Row],[Qty]]*InvoiceDetails[[#This Row],[Unit price]])-InvoiceDetails[[#This Row],[Discount]]</f>
        <v>11925</v>
      </c>
    </row>
    <row r="25" spans="1:8" ht="34.049999999999997" customHeight="1" x14ac:dyDescent="0.3">
      <c r="A25" s="30"/>
      <c r="B25" s="51" t="str">
        <f>'Sales Data'!C24</f>
        <v>INV-2301-022</v>
      </c>
      <c r="C25" s="16" t="s">
        <v>10</v>
      </c>
      <c r="D25" s="16" t="str">
        <f>'Sales Data'!E24</f>
        <v>PC-IND-PD38L-17</v>
      </c>
      <c r="E25" s="52">
        <f>'Sales Data'!G24</f>
        <v>822</v>
      </c>
      <c r="F25" s="72">
        <f>'Sales Data'!H24</f>
        <v>30</v>
      </c>
      <c r="G25" s="72">
        <v>22</v>
      </c>
      <c r="H25" s="72">
        <f>(InvoiceDetails[[#This Row],[Qty]]*InvoiceDetails[[#This Row],[Unit price]])-InvoiceDetails[[#This Row],[Discount]]</f>
        <v>24638</v>
      </c>
    </row>
    <row r="26" spans="1:8" ht="34.049999999999997" customHeight="1" x14ac:dyDescent="0.3">
      <c r="A26" s="30"/>
      <c r="B26" s="51" t="str">
        <f>'Sales Data'!C25</f>
        <v>INV-2301-023</v>
      </c>
      <c r="C26" s="16" t="s">
        <v>10</v>
      </c>
      <c r="D26" s="16" t="str">
        <f>'Sales Data'!E25</f>
        <v>ED-IND-HZ82F-56</v>
      </c>
      <c r="E26" s="52">
        <f>'Sales Data'!G25</f>
        <v>508</v>
      </c>
      <c r="F26" s="72">
        <f>'Sales Data'!H25</f>
        <v>26</v>
      </c>
      <c r="G26" s="72">
        <v>23</v>
      </c>
      <c r="H26" s="72">
        <f>(InvoiceDetails[[#This Row],[Qty]]*InvoiceDetails[[#This Row],[Unit price]])-InvoiceDetails[[#This Row],[Discount]]</f>
        <v>13185</v>
      </c>
    </row>
    <row r="27" spans="1:8" ht="34.049999999999997" customHeight="1" x14ac:dyDescent="0.3">
      <c r="A27" s="30"/>
      <c r="B27" s="51" t="str">
        <f>'Sales Data'!C26</f>
        <v>INV-2301-024</v>
      </c>
      <c r="C27" s="16" t="s">
        <v>10</v>
      </c>
      <c r="D27" s="16" t="str">
        <f>'Sales Data'!E26</f>
        <v>ED-IND-TS60M-97</v>
      </c>
      <c r="E27" s="52">
        <f>'Sales Data'!G26</f>
        <v>620</v>
      </c>
      <c r="F27" s="72">
        <f>'Sales Data'!H26</f>
        <v>30</v>
      </c>
      <c r="G27" s="72">
        <v>24</v>
      </c>
      <c r="H27" s="72">
        <f>(InvoiceDetails[[#This Row],[Qty]]*InvoiceDetails[[#This Row],[Unit price]])-InvoiceDetails[[#This Row],[Discount]]</f>
        <v>18576</v>
      </c>
    </row>
    <row r="28" spans="1:8" ht="34.049999999999997" customHeight="1" x14ac:dyDescent="0.3">
      <c r="A28" s="30"/>
      <c r="B28" s="51" t="str">
        <f>'Sales Data'!C27</f>
        <v>INV-2301-025</v>
      </c>
      <c r="C28" s="16" t="s">
        <v>10</v>
      </c>
      <c r="D28" s="16" t="str">
        <f>'Sales Data'!E27</f>
        <v>ED-IND-JV82I-92</v>
      </c>
      <c r="E28" s="52">
        <f>'Sales Data'!G27</f>
        <v>892</v>
      </c>
      <c r="F28" s="72">
        <f>'Sales Data'!H27</f>
        <v>25</v>
      </c>
      <c r="G28" s="72">
        <v>25</v>
      </c>
      <c r="H28" s="72">
        <f>(InvoiceDetails[[#This Row],[Qty]]*InvoiceDetails[[#This Row],[Unit price]])-InvoiceDetails[[#This Row],[Discount]]</f>
        <v>22275</v>
      </c>
    </row>
    <row r="29" spans="1:8" ht="34.049999999999997" customHeight="1" x14ac:dyDescent="0.3">
      <c r="B29" s="51" t="str">
        <f>'Sales Data'!C28</f>
        <v>INV-2301-026</v>
      </c>
      <c r="C29" s="16" t="s">
        <v>19</v>
      </c>
      <c r="D29" s="16" t="str">
        <f>'Sales Data'!E28</f>
        <v>PC-IND-GB95C-85</v>
      </c>
      <c r="E29" s="52">
        <f>'Sales Data'!G28</f>
        <v>585</v>
      </c>
      <c r="F29" s="72">
        <f>'Sales Data'!H28</f>
        <v>24</v>
      </c>
      <c r="G29" s="72"/>
      <c r="H29" s="72">
        <f>(InvoiceDetails[[#This Row],[Qty]]*InvoiceDetails[[#This Row],[Unit price]])-InvoiceDetails[[#This Row],[Discount]]</f>
        <v>14040</v>
      </c>
    </row>
    <row r="30" spans="1:8" ht="34.049999999999997" customHeight="1" x14ac:dyDescent="0.3">
      <c r="B30" s="51" t="str">
        <f>'Sales Data'!C29</f>
        <v>INV-2301-027</v>
      </c>
      <c r="C30" s="16" t="s">
        <v>19</v>
      </c>
      <c r="D30" s="16" t="str">
        <f>'Sales Data'!E29</f>
        <v>ED-IND-XN73Y-21</v>
      </c>
      <c r="E30" s="52">
        <f>'Sales Data'!G29</f>
        <v>511</v>
      </c>
      <c r="F30" s="72">
        <f>'Sales Data'!H29</f>
        <v>21</v>
      </c>
      <c r="G30" s="72">
        <v>5</v>
      </c>
      <c r="H30" s="72">
        <f>(InvoiceDetails[[#This Row],[Qty]]*InvoiceDetails[[#This Row],[Unit price]])-InvoiceDetails[[#This Row],[Discount]]</f>
        <v>10726</v>
      </c>
    </row>
    <row r="31" spans="1:8" ht="34.049999999999997" customHeight="1" x14ac:dyDescent="0.3">
      <c r="B31" s="51" t="str">
        <f>'Sales Data'!C30</f>
        <v>INV-2301-028</v>
      </c>
      <c r="C31" s="16" t="s">
        <v>19</v>
      </c>
      <c r="D31" s="16" t="str">
        <f>'Sales Data'!E30</f>
        <v>ED-IND-BU40X-81</v>
      </c>
      <c r="E31" s="52">
        <f>'Sales Data'!G30</f>
        <v>800</v>
      </c>
      <c r="F31" s="72">
        <f>'Sales Data'!H30</f>
        <v>31</v>
      </c>
      <c r="G31" s="72">
        <v>7</v>
      </c>
      <c r="H31" s="72">
        <f>(InvoiceDetails[[#This Row],[Qty]]*InvoiceDetails[[#This Row],[Unit price]])-InvoiceDetails[[#This Row],[Discount]]</f>
        <v>24793</v>
      </c>
    </row>
    <row r="32" spans="1:8" ht="34.049999999999997" customHeight="1" x14ac:dyDescent="0.3">
      <c r="B32" s="51" t="str">
        <f>'Sales Data'!C31</f>
        <v>INV-2302-029</v>
      </c>
      <c r="C32" s="16" t="s">
        <v>19</v>
      </c>
      <c r="D32" s="16" t="str">
        <f>'Sales Data'!E31</f>
        <v>ED-IND-TV20R-31</v>
      </c>
      <c r="E32" s="52">
        <f>'Sales Data'!G31</f>
        <v>994</v>
      </c>
      <c r="F32" s="72">
        <f>'Sales Data'!H31</f>
        <v>21</v>
      </c>
      <c r="G32" s="72"/>
      <c r="H32" s="72">
        <f>(InvoiceDetails[[#This Row],[Qty]]*InvoiceDetails[[#This Row],[Unit price]])-InvoiceDetails[[#This Row],[Discount]]</f>
        <v>20874</v>
      </c>
    </row>
    <row r="33" spans="2:8" ht="34.049999999999997" customHeight="1" x14ac:dyDescent="0.3">
      <c r="B33" s="51" t="str">
        <f>'Sales Data'!C32</f>
        <v>INV-2302-030</v>
      </c>
      <c r="C33" s="16" t="s">
        <v>19</v>
      </c>
      <c r="D33" s="16" t="str">
        <f>'Sales Data'!E32</f>
        <v>ED-IND-UU36L-66</v>
      </c>
      <c r="E33" s="52">
        <f>'Sales Data'!G32</f>
        <v>533</v>
      </c>
      <c r="F33" s="72">
        <f>'Sales Data'!H32</f>
        <v>26</v>
      </c>
      <c r="G33" s="72"/>
      <c r="H33" s="72">
        <f>(InvoiceDetails[[#This Row],[Qty]]*InvoiceDetails[[#This Row],[Unit price]])-InvoiceDetails[[#This Row],[Discount]]</f>
        <v>13858</v>
      </c>
    </row>
    <row r="34" spans="2:8" ht="34.049999999999997" customHeight="1" x14ac:dyDescent="0.3">
      <c r="B34" s="51" t="str">
        <f>'Sales Data'!C33</f>
        <v>INV-2302-031</v>
      </c>
      <c r="C34" s="16" t="s">
        <v>19</v>
      </c>
      <c r="D34" s="16" t="str">
        <f>'Sales Data'!E33</f>
        <v>ED-IND-FE78W-05</v>
      </c>
      <c r="E34" s="52">
        <f>'Sales Data'!G33</f>
        <v>998</v>
      </c>
      <c r="F34" s="72">
        <f>'Sales Data'!H33</f>
        <v>29</v>
      </c>
      <c r="G34" s="72"/>
      <c r="H34" s="72">
        <f>(InvoiceDetails[[#This Row],[Qty]]*InvoiceDetails[[#This Row],[Unit price]])-InvoiceDetails[[#This Row],[Discount]]</f>
        <v>28942</v>
      </c>
    </row>
    <row r="35" spans="2:8" ht="34.049999999999997" customHeight="1" x14ac:dyDescent="0.3">
      <c r="B35" s="51" t="str">
        <f>'Sales Data'!C34</f>
        <v>INV-2302-032</v>
      </c>
      <c r="C35" s="16" t="s">
        <v>19</v>
      </c>
      <c r="D35" s="16" t="str">
        <f>'Sales Data'!E34</f>
        <v>ED-IND-KQ16R-25</v>
      </c>
      <c r="E35" s="52">
        <f>'Sales Data'!G34</f>
        <v>851</v>
      </c>
      <c r="F35" s="72">
        <f>'Sales Data'!H34</f>
        <v>24</v>
      </c>
      <c r="G35" s="72"/>
      <c r="H35" s="72">
        <f>(InvoiceDetails[[#This Row],[Qty]]*InvoiceDetails[[#This Row],[Unit price]])-InvoiceDetails[[#This Row],[Discount]]</f>
        <v>20424</v>
      </c>
    </row>
    <row r="36" spans="2:8" ht="34.049999999999997" customHeight="1" x14ac:dyDescent="0.3">
      <c r="B36" s="51" t="str">
        <f>'Sales Data'!C35</f>
        <v>INV-2302-033</v>
      </c>
      <c r="C36" s="16" t="s">
        <v>19</v>
      </c>
      <c r="D36" s="16" t="str">
        <f>'Sales Data'!E35</f>
        <v>ED-IND-JK94K-77</v>
      </c>
      <c r="E36" s="52">
        <f>'Sales Data'!G35</f>
        <v>919</v>
      </c>
      <c r="F36" s="72">
        <f>'Sales Data'!H35</f>
        <v>21</v>
      </c>
      <c r="G36" s="72"/>
      <c r="H36" s="72">
        <f>(InvoiceDetails[[#This Row],[Qty]]*InvoiceDetails[[#This Row],[Unit price]])-InvoiceDetails[[#This Row],[Discount]]</f>
        <v>19299</v>
      </c>
    </row>
    <row r="37" spans="2:8" ht="34.049999999999997" customHeight="1" x14ac:dyDescent="0.3">
      <c r="B37" s="51" t="str">
        <f>'Sales Data'!C36</f>
        <v>INV-2302-034</v>
      </c>
      <c r="C37" s="16" t="s">
        <v>19</v>
      </c>
      <c r="D37" s="16" t="str">
        <f>'Sales Data'!E36</f>
        <v>ED-IND-CR92V-20</v>
      </c>
      <c r="E37" s="52">
        <f>'Sales Data'!G36</f>
        <v>924</v>
      </c>
      <c r="F37" s="72">
        <f>'Sales Data'!H36</f>
        <v>29</v>
      </c>
      <c r="G37" s="72">
        <v>3</v>
      </c>
      <c r="H37" s="72">
        <f>(InvoiceDetails[[#This Row],[Qty]]*InvoiceDetails[[#This Row],[Unit price]])-InvoiceDetails[[#This Row],[Discount]]</f>
        <v>26793</v>
      </c>
    </row>
    <row r="38" spans="2:8" ht="34.049999999999997" customHeight="1" x14ac:dyDescent="0.3">
      <c r="B38" s="51" t="str">
        <f>'Sales Data'!C37</f>
        <v>INV-2302-035</v>
      </c>
      <c r="C38" s="16" t="s">
        <v>19</v>
      </c>
      <c r="D38" s="16" t="str">
        <f>'Sales Data'!E37</f>
        <v>PC-IND-XL39M-09</v>
      </c>
      <c r="E38" s="52">
        <f>'Sales Data'!G37</f>
        <v>716</v>
      </c>
      <c r="F38" s="72">
        <f>'Sales Data'!H37</f>
        <v>30</v>
      </c>
      <c r="G38" s="72"/>
      <c r="H38" s="72">
        <f>(InvoiceDetails[[#This Row],[Qty]]*InvoiceDetails[[#This Row],[Unit price]])-InvoiceDetails[[#This Row],[Discount]]</f>
        <v>21480</v>
      </c>
    </row>
    <row r="39" spans="2:8" ht="34.049999999999997" customHeight="1" x14ac:dyDescent="0.3">
      <c r="B39" s="51" t="str">
        <f>'Sales Data'!C38</f>
        <v>INV-2302-036</v>
      </c>
      <c r="C39" s="16" t="s">
        <v>19</v>
      </c>
      <c r="D39" s="16" t="str">
        <f>'Sales Data'!E38</f>
        <v>ED-IND-WI83S-42</v>
      </c>
      <c r="E39" s="52">
        <f>'Sales Data'!G38</f>
        <v>820</v>
      </c>
      <c r="F39" s="72">
        <f>'Sales Data'!H38</f>
        <v>28</v>
      </c>
      <c r="G39" s="72"/>
      <c r="H39" s="72">
        <f>(InvoiceDetails[[#This Row],[Qty]]*InvoiceDetails[[#This Row],[Unit price]])-InvoiceDetails[[#This Row],[Discount]]</f>
        <v>22960</v>
      </c>
    </row>
    <row r="40" spans="2:8" ht="34.049999999999997" customHeight="1" x14ac:dyDescent="0.3">
      <c r="B40" s="51" t="str">
        <f>'Sales Data'!C39</f>
        <v>INV-2302-037</v>
      </c>
      <c r="C40" s="16" t="s">
        <v>19</v>
      </c>
      <c r="D40" s="16" t="str">
        <f>'Sales Data'!E39</f>
        <v>ED-IND-ZU15L-03</v>
      </c>
      <c r="E40" s="52">
        <f>'Sales Data'!G39</f>
        <v>993</v>
      </c>
      <c r="F40" s="72">
        <f>'Sales Data'!H39</f>
        <v>31</v>
      </c>
      <c r="G40" s="72"/>
      <c r="H40" s="72">
        <f>(InvoiceDetails[[#This Row],[Qty]]*InvoiceDetails[[#This Row],[Unit price]])-InvoiceDetails[[#This Row],[Discount]]</f>
        <v>30783</v>
      </c>
    </row>
    <row r="41" spans="2:8" ht="34.049999999999997" customHeight="1" x14ac:dyDescent="0.3">
      <c r="B41" s="51" t="str">
        <f>'Sales Data'!C40</f>
        <v>INV-2302-038</v>
      </c>
      <c r="C41" s="31"/>
      <c r="D41" s="16" t="str">
        <f>'Sales Data'!E40</f>
        <v>ED-IND-WW79U-71</v>
      </c>
      <c r="E41" s="52">
        <f>'Sales Data'!G40</f>
        <v>857</v>
      </c>
      <c r="F41" s="72">
        <f>'Sales Data'!H40</f>
        <v>25</v>
      </c>
      <c r="G41" s="73"/>
      <c r="H41" s="73">
        <f>(InvoiceDetails[[#This Row],[Qty]]*InvoiceDetails[[#This Row],[Unit price]])-InvoiceDetails[[#This Row],[Discount]]</f>
        <v>21425</v>
      </c>
    </row>
    <row r="42" spans="2:8" ht="34.049999999999997" customHeight="1" x14ac:dyDescent="0.3">
      <c r="B42" s="51" t="str">
        <f>'Sales Data'!C41</f>
        <v>INV-2302-039</v>
      </c>
      <c r="C42" s="31"/>
      <c r="D42" s="16" t="str">
        <f>'Sales Data'!E41</f>
        <v>ED-IND-ID66P-47</v>
      </c>
      <c r="E42" s="52">
        <f>'Sales Data'!G41</f>
        <v>643</v>
      </c>
      <c r="F42" s="72">
        <f>'Sales Data'!H41</f>
        <v>28</v>
      </c>
      <c r="G42" s="73"/>
      <c r="H42" s="73">
        <f>(InvoiceDetails[[#This Row],[Qty]]*InvoiceDetails[[#This Row],[Unit price]])-InvoiceDetails[[#This Row],[Discount]]</f>
        <v>18004</v>
      </c>
    </row>
    <row r="43" spans="2:8" ht="34.049999999999997" customHeight="1" x14ac:dyDescent="0.3">
      <c r="B43" s="51" t="str">
        <f>'Sales Data'!C42</f>
        <v>INV-2302-040</v>
      </c>
      <c r="C43" s="31"/>
      <c r="D43" s="16" t="str">
        <f>'Sales Data'!E42</f>
        <v>ED-IND-IZ39P-50</v>
      </c>
      <c r="E43" s="52">
        <f>'Sales Data'!G42</f>
        <v>548</v>
      </c>
      <c r="F43" s="72">
        <f>'Sales Data'!H42</f>
        <v>28</v>
      </c>
      <c r="G43" s="73"/>
      <c r="H43" s="73">
        <f>(InvoiceDetails[[#This Row],[Qty]]*InvoiceDetails[[#This Row],[Unit price]])-InvoiceDetails[[#This Row],[Discount]]</f>
        <v>15344</v>
      </c>
    </row>
    <row r="44" spans="2:8" ht="34.049999999999997" customHeight="1" x14ac:dyDescent="0.3">
      <c r="B44" s="51" t="str">
        <f>'Sales Data'!C43</f>
        <v>INV-2302-041</v>
      </c>
      <c r="C44" s="31"/>
      <c r="D44" s="16" t="str">
        <f>'Sales Data'!E43</f>
        <v>ED-IND-ZD11V-50</v>
      </c>
      <c r="E44" s="52">
        <f>'Sales Data'!G43</f>
        <v>602</v>
      </c>
      <c r="F44" s="72">
        <f>'Sales Data'!H43</f>
        <v>21</v>
      </c>
      <c r="G44" s="73"/>
      <c r="H44" s="73">
        <f>(InvoiceDetails[[#This Row],[Qty]]*InvoiceDetails[[#This Row],[Unit price]])-InvoiceDetails[[#This Row],[Discount]]</f>
        <v>12642</v>
      </c>
    </row>
    <row r="45" spans="2:8" ht="34.049999999999997" customHeight="1" x14ac:dyDescent="0.3">
      <c r="B45" s="51" t="str">
        <f>'Sales Data'!C44</f>
        <v>INV-2302-042</v>
      </c>
      <c r="C45" s="31"/>
      <c r="D45" s="16" t="str">
        <f>'Sales Data'!E44</f>
        <v>ED-IND-CA47Q-81</v>
      </c>
      <c r="E45" s="52">
        <f>'Sales Data'!G44</f>
        <v>717</v>
      </c>
      <c r="F45" s="72">
        <f>'Sales Data'!H44</f>
        <v>28</v>
      </c>
      <c r="G45" s="73"/>
      <c r="H45" s="73">
        <f>(InvoiceDetails[[#This Row],[Qty]]*InvoiceDetails[[#This Row],[Unit price]])-InvoiceDetails[[#This Row],[Discount]]</f>
        <v>20076</v>
      </c>
    </row>
    <row r="46" spans="2:8" ht="34.049999999999997" customHeight="1" x14ac:dyDescent="0.3">
      <c r="B46" s="51" t="str">
        <f>'Sales Data'!C45</f>
        <v>INV-2302-043</v>
      </c>
      <c r="C46" s="31"/>
      <c r="D46" s="16" t="str">
        <f>'Sales Data'!E45</f>
        <v>ED-IND-NI30Z-49</v>
      </c>
      <c r="E46" s="52">
        <f>'Sales Data'!G45</f>
        <v>551</v>
      </c>
      <c r="F46" s="72">
        <f>'Sales Data'!H45</f>
        <v>23</v>
      </c>
      <c r="G46" s="73"/>
      <c r="H46" s="73">
        <f>(InvoiceDetails[[#This Row],[Qty]]*InvoiceDetails[[#This Row],[Unit price]])-InvoiceDetails[[#This Row],[Discount]]</f>
        <v>12673</v>
      </c>
    </row>
    <row r="47" spans="2:8" ht="34.049999999999997" customHeight="1" x14ac:dyDescent="0.3">
      <c r="B47" s="51" t="str">
        <f>'Sales Data'!C46</f>
        <v>INV-2302-044</v>
      </c>
      <c r="C47" s="31"/>
      <c r="D47" s="16" t="str">
        <f>'Sales Data'!E46</f>
        <v>PC-IND-VT75H-21</v>
      </c>
      <c r="E47" s="52">
        <f>'Sales Data'!G46</f>
        <v>951</v>
      </c>
      <c r="F47" s="72">
        <f>'Sales Data'!H46</f>
        <v>22</v>
      </c>
      <c r="G47" s="73"/>
      <c r="H47" s="73">
        <f>(InvoiceDetails[[#This Row],[Qty]]*InvoiceDetails[[#This Row],[Unit price]])-InvoiceDetails[[#This Row],[Discount]]</f>
        <v>20922</v>
      </c>
    </row>
    <row r="48" spans="2:8" ht="34.049999999999997" customHeight="1" x14ac:dyDescent="0.3">
      <c r="B48" s="51" t="str">
        <f>'Sales Data'!C47</f>
        <v>INV-2302-045</v>
      </c>
      <c r="C48" s="31"/>
      <c r="D48" s="16" t="str">
        <f>'Sales Data'!E47</f>
        <v>ED-IND-MS12H-50</v>
      </c>
      <c r="E48" s="52">
        <f>'Sales Data'!G47</f>
        <v>812</v>
      </c>
      <c r="F48" s="72">
        <f>'Sales Data'!H47</f>
        <v>28</v>
      </c>
      <c r="G48" s="73"/>
      <c r="H48" s="73">
        <f>(InvoiceDetails[[#This Row],[Qty]]*InvoiceDetails[[#This Row],[Unit price]])-InvoiceDetails[[#This Row],[Discount]]</f>
        <v>22736</v>
      </c>
    </row>
    <row r="49" spans="2:8" ht="34.049999999999997" customHeight="1" x14ac:dyDescent="0.3">
      <c r="B49" s="51" t="str">
        <f>'Sales Data'!C48</f>
        <v>INV-2302-046</v>
      </c>
      <c r="C49" s="31"/>
      <c r="D49" s="16" t="str">
        <f>'Sales Data'!E48</f>
        <v>ED-IND-QK22X-55</v>
      </c>
      <c r="E49" s="52">
        <f>'Sales Data'!G48</f>
        <v>839</v>
      </c>
      <c r="F49" s="72">
        <f>'Sales Data'!H48</f>
        <v>22</v>
      </c>
      <c r="G49" s="73"/>
      <c r="H49" s="73">
        <f>(InvoiceDetails[[#This Row],[Qty]]*InvoiceDetails[[#This Row],[Unit price]])-InvoiceDetails[[#This Row],[Discount]]</f>
        <v>18458</v>
      </c>
    </row>
    <row r="50" spans="2:8" ht="34.049999999999997" customHeight="1" x14ac:dyDescent="0.3">
      <c r="B50" s="51" t="str">
        <f>'Sales Data'!C49</f>
        <v>INV-2302-047</v>
      </c>
      <c r="C50" s="31"/>
      <c r="D50" s="16" t="str">
        <f>'Sales Data'!E49</f>
        <v>PC-IND-CL12F-19</v>
      </c>
      <c r="E50" s="52">
        <f>'Sales Data'!G49</f>
        <v>586</v>
      </c>
      <c r="F50" s="72">
        <f>'Sales Data'!H49</f>
        <v>25</v>
      </c>
      <c r="G50" s="73"/>
      <c r="H50" s="73">
        <f>(InvoiceDetails[[#This Row],[Qty]]*InvoiceDetails[[#This Row],[Unit price]])-InvoiceDetails[[#This Row],[Discount]]</f>
        <v>14650</v>
      </c>
    </row>
    <row r="51" spans="2:8" ht="34.049999999999997" customHeight="1" x14ac:dyDescent="0.3">
      <c r="B51" s="51" t="str">
        <f>'Sales Data'!C50</f>
        <v>INV-2302-048</v>
      </c>
      <c r="C51" s="31"/>
      <c r="D51" s="16" t="str">
        <f>'Sales Data'!E50</f>
        <v>PC-IND-NP93B-18</v>
      </c>
      <c r="E51" s="52">
        <f>'Sales Data'!G50</f>
        <v>562</v>
      </c>
      <c r="F51" s="72">
        <f>'Sales Data'!H50</f>
        <v>28</v>
      </c>
      <c r="G51" s="73"/>
      <c r="H51" s="73">
        <f>(InvoiceDetails[[#This Row],[Qty]]*InvoiceDetails[[#This Row],[Unit price]])-InvoiceDetails[[#This Row],[Discount]]</f>
        <v>15736</v>
      </c>
    </row>
    <row r="52" spans="2:8" ht="34.049999999999997" customHeight="1" x14ac:dyDescent="0.3">
      <c r="B52" s="51" t="str">
        <f>'Sales Data'!C51</f>
        <v>INV-2302-049</v>
      </c>
      <c r="C52" s="31"/>
      <c r="D52" s="16" t="str">
        <f>'Sales Data'!E51</f>
        <v>PC-IND-IR21R-23</v>
      </c>
      <c r="E52" s="52">
        <f>'Sales Data'!G51</f>
        <v>623</v>
      </c>
      <c r="F52" s="72">
        <f>'Sales Data'!H51</f>
        <v>26</v>
      </c>
      <c r="G52" s="73"/>
      <c r="H52" s="73">
        <f>(InvoiceDetails[[#This Row],[Qty]]*InvoiceDetails[[#This Row],[Unit price]])-InvoiceDetails[[#This Row],[Discount]]</f>
        <v>16198</v>
      </c>
    </row>
    <row r="53" spans="2:8" ht="34.049999999999997" customHeight="1" x14ac:dyDescent="0.3">
      <c r="B53" s="51" t="str">
        <f>'Sales Data'!C52</f>
        <v>INV-2302-050</v>
      </c>
      <c r="C53" s="31"/>
      <c r="D53" s="16" t="str">
        <f>'Sales Data'!E52</f>
        <v>ED-IND-XW80E-72</v>
      </c>
      <c r="E53" s="52">
        <f>'Sales Data'!G52</f>
        <v>989</v>
      </c>
      <c r="F53" s="72">
        <f>'Sales Data'!H52</f>
        <v>25</v>
      </c>
      <c r="G53" s="73"/>
      <c r="H53" s="73">
        <f>(InvoiceDetails[[#This Row],[Qty]]*InvoiceDetails[[#This Row],[Unit price]])-InvoiceDetails[[#This Row],[Discount]]</f>
        <v>24725</v>
      </c>
    </row>
    <row r="54" spans="2:8" ht="34.049999999999997" customHeight="1" x14ac:dyDescent="0.3">
      <c r="B54" s="51" t="str">
        <f>'Sales Data'!C53</f>
        <v>INV-2302-051</v>
      </c>
      <c r="C54" s="31"/>
      <c r="D54" s="16" t="str">
        <f>'Sales Data'!E53</f>
        <v>ED-IND-YJ47L-10</v>
      </c>
      <c r="E54" s="52">
        <f>'Sales Data'!G53</f>
        <v>886</v>
      </c>
      <c r="F54" s="72">
        <f>'Sales Data'!H53</f>
        <v>22</v>
      </c>
      <c r="G54" s="73"/>
      <c r="H54" s="73">
        <f>(InvoiceDetails[[#This Row],[Qty]]*InvoiceDetails[[#This Row],[Unit price]])-InvoiceDetails[[#This Row],[Discount]]</f>
        <v>19492</v>
      </c>
    </row>
    <row r="55" spans="2:8" ht="34.049999999999997" customHeight="1" x14ac:dyDescent="0.3">
      <c r="B55" s="51" t="str">
        <f>'Sales Data'!C54</f>
        <v>INV-2302-052</v>
      </c>
      <c r="C55" s="31"/>
      <c r="D55" s="16" t="str">
        <f>'Sales Data'!E54</f>
        <v>ED-IND-EP58M-95</v>
      </c>
      <c r="E55" s="52">
        <f>'Sales Data'!G54</f>
        <v>756</v>
      </c>
      <c r="F55" s="72">
        <f>'Sales Data'!H54</f>
        <v>25</v>
      </c>
      <c r="G55" s="73"/>
      <c r="H55" s="73">
        <f>(InvoiceDetails[[#This Row],[Qty]]*InvoiceDetails[[#This Row],[Unit price]])-InvoiceDetails[[#This Row],[Discount]]</f>
        <v>18900</v>
      </c>
    </row>
    <row r="56" spans="2:8" ht="34.049999999999997" customHeight="1" x14ac:dyDescent="0.3">
      <c r="B56" s="51" t="str">
        <f>'Sales Data'!C55</f>
        <v>INV-2302-053</v>
      </c>
      <c r="C56" s="31"/>
      <c r="D56" s="16" t="str">
        <f>'Sales Data'!E55</f>
        <v>ED-IND-FS18J-73</v>
      </c>
      <c r="E56" s="52">
        <f>'Sales Data'!G55</f>
        <v>887</v>
      </c>
      <c r="F56" s="72">
        <f>'Sales Data'!H55</f>
        <v>22</v>
      </c>
      <c r="G56" s="73"/>
      <c r="H56" s="73">
        <f>(InvoiceDetails[[#This Row],[Qty]]*InvoiceDetails[[#This Row],[Unit price]])-InvoiceDetails[[#This Row],[Discount]]</f>
        <v>19514</v>
      </c>
    </row>
    <row r="57" spans="2:8" ht="34.049999999999997" customHeight="1" x14ac:dyDescent="0.3">
      <c r="B57" s="51" t="str">
        <f>'Sales Data'!C56</f>
        <v>INV-2302-054</v>
      </c>
      <c r="C57" s="31"/>
      <c r="D57" s="16" t="str">
        <f>'Sales Data'!E56</f>
        <v>ED-IND-FA45C-02</v>
      </c>
      <c r="E57" s="52">
        <f>'Sales Data'!G56</f>
        <v>946</v>
      </c>
      <c r="F57" s="72">
        <f>'Sales Data'!H56</f>
        <v>25</v>
      </c>
      <c r="G57" s="73"/>
      <c r="H57" s="73">
        <f>(InvoiceDetails[[#This Row],[Qty]]*InvoiceDetails[[#This Row],[Unit price]])-InvoiceDetails[[#This Row],[Discount]]</f>
        <v>23650</v>
      </c>
    </row>
    <row r="58" spans="2:8" ht="34.049999999999997" customHeight="1" x14ac:dyDescent="0.3">
      <c r="B58" s="51" t="str">
        <f>'Sales Data'!C57</f>
        <v>INV-2302-055</v>
      </c>
      <c r="C58" s="31"/>
      <c r="D58" s="16" t="str">
        <f>'Sales Data'!E57</f>
        <v>ED-IND-CC57K-09</v>
      </c>
      <c r="E58" s="52">
        <f>'Sales Data'!G57</f>
        <v>761</v>
      </c>
      <c r="F58" s="72">
        <f>'Sales Data'!H57</f>
        <v>29</v>
      </c>
      <c r="G58" s="73"/>
      <c r="H58" s="73">
        <f>(InvoiceDetails[[#This Row],[Qty]]*InvoiceDetails[[#This Row],[Unit price]])-InvoiceDetails[[#This Row],[Discount]]</f>
        <v>22069</v>
      </c>
    </row>
    <row r="59" spans="2:8" ht="34.049999999999997" customHeight="1" x14ac:dyDescent="0.3">
      <c r="B59" s="51" t="str">
        <f>'Sales Data'!C58</f>
        <v>INV-2302-056</v>
      </c>
      <c r="C59" s="31"/>
      <c r="D59" s="16" t="str">
        <f>'Sales Data'!E58</f>
        <v>ED-IND-FX72F-78</v>
      </c>
      <c r="E59" s="52">
        <f>'Sales Data'!G58</f>
        <v>811</v>
      </c>
      <c r="F59" s="72">
        <f>'Sales Data'!H58</f>
        <v>27</v>
      </c>
      <c r="G59" s="73"/>
      <c r="H59" s="73">
        <f>(InvoiceDetails[[#This Row],[Qty]]*InvoiceDetails[[#This Row],[Unit price]])-InvoiceDetails[[#This Row],[Discount]]</f>
        <v>21897</v>
      </c>
    </row>
    <row r="60" spans="2:8" ht="34.049999999999997" customHeight="1" x14ac:dyDescent="0.3">
      <c r="B60" s="51" t="str">
        <f>'Sales Data'!C59</f>
        <v>INV-2303-057</v>
      </c>
      <c r="C60" s="31"/>
      <c r="D60" s="16" t="str">
        <f>'Sales Data'!E59</f>
        <v>ED-IND-KI27I-06</v>
      </c>
      <c r="E60" s="52">
        <f>'Sales Data'!G59</f>
        <v>673</v>
      </c>
      <c r="F60" s="72">
        <f>'Sales Data'!H59</f>
        <v>24</v>
      </c>
      <c r="G60" s="73"/>
      <c r="H60" s="73">
        <f>(InvoiceDetails[[#This Row],[Qty]]*InvoiceDetails[[#This Row],[Unit price]])-InvoiceDetails[[#This Row],[Discount]]</f>
        <v>16152</v>
      </c>
    </row>
    <row r="61" spans="2:8" ht="34.049999999999997" customHeight="1" x14ac:dyDescent="0.3">
      <c r="B61" s="51" t="str">
        <f>'Sales Data'!C60</f>
        <v>INV-2303-058</v>
      </c>
      <c r="C61" s="31"/>
      <c r="D61" s="16" t="str">
        <f>'Sales Data'!E60</f>
        <v>ED-IND-YO81B-36</v>
      </c>
      <c r="E61" s="52">
        <f>'Sales Data'!G60</f>
        <v>881</v>
      </c>
      <c r="F61" s="72">
        <f>'Sales Data'!H60</f>
        <v>30</v>
      </c>
      <c r="G61" s="73"/>
      <c r="H61" s="73">
        <f>(InvoiceDetails[[#This Row],[Qty]]*InvoiceDetails[[#This Row],[Unit price]])-InvoiceDetails[[#This Row],[Discount]]</f>
        <v>26430</v>
      </c>
    </row>
    <row r="62" spans="2:8" ht="34.049999999999997" customHeight="1" x14ac:dyDescent="0.3">
      <c r="B62" s="51" t="str">
        <f>'Sales Data'!C61</f>
        <v>INV-2303-059</v>
      </c>
      <c r="C62" s="31"/>
      <c r="D62" s="16" t="str">
        <f>'Sales Data'!E61</f>
        <v>ED-IND-FQ15K-66</v>
      </c>
      <c r="E62" s="52">
        <f>'Sales Data'!G61</f>
        <v>564</v>
      </c>
      <c r="F62" s="72">
        <f>'Sales Data'!H61</f>
        <v>26</v>
      </c>
      <c r="G62" s="73"/>
      <c r="H62" s="73">
        <f>(InvoiceDetails[[#This Row],[Qty]]*InvoiceDetails[[#This Row],[Unit price]])-InvoiceDetails[[#This Row],[Discount]]</f>
        <v>14664</v>
      </c>
    </row>
    <row r="63" spans="2:8" ht="34.049999999999997" customHeight="1" x14ac:dyDescent="0.3">
      <c r="B63" s="51" t="str">
        <f>'Sales Data'!C62</f>
        <v>INV-2303-060</v>
      </c>
      <c r="C63" s="31"/>
      <c r="D63" s="16" t="str">
        <f>'Sales Data'!E62</f>
        <v>ED-IND-KJ36Y-33</v>
      </c>
      <c r="E63" s="52">
        <f>'Sales Data'!G62</f>
        <v>534</v>
      </c>
      <c r="F63" s="72">
        <f>'Sales Data'!H62</f>
        <v>22</v>
      </c>
      <c r="G63" s="73"/>
      <c r="H63" s="73">
        <f>(InvoiceDetails[[#This Row],[Qty]]*InvoiceDetails[[#This Row],[Unit price]])-InvoiceDetails[[#This Row],[Discount]]</f>
        <v>11748</v>
      </c>
    </row>
    <row r="64" spans="2:8" ht="34.049999999999997" customHeight="1" x14ac:dyDescent="0.3">
      <c r="B64" s="51" t="str">
        <f>'Sales Data'!C63</f>
        <v>INV-2303-061</v>
      </c>
      <c r="C64" s="31"/>
      <c r="D64" s="16" t="str">
        <f>'Sales Data'!E63</f>
        <v>ED-IND-MB85F-81</v>
      </c>
      <c r="E64" s="52">
        <f>'Sales Data'!G63</f>
        <v>743</v>
      </c>
      <c r="F64" s="72">
        <f>'Sales Data'!H63</f>
        <v>24</v>
      </c>
      <c r="G64" s="73"/>
      <c r="H64" s="73">
        <f>(InvoiceDetails[[#This Row],[Qty]]*InvoiceDetails[[#This Row],[Unit price]])-InvoiceDetails[[#This Row],[Discount]]</f>
        <v>17832</v>
      </c>
    </row>
    <row r="65" spans="2:8" ht="34.049999999999997" customHeight="1" x14ac:dyDescent="0.3">
      <c r="B65" s="51" t="str">
        <f>'Sales Data'!C64</f>
        <v>INV-2303-062</v>
      </c>
      <c r="C65" s="31"/>
      <c r="D65" s="16" t="str">
        <f>'Sales Data'!E64</f>
        <v>ED-IND-KP34Q-49</v>
      </c>
      <c r="E65" s="52">
        <f>'Sales Data'!G64</f>
        <v>855</v>
      </c>
      <c r="F65" s="72">
        <f>'Sales Data'!H64</f>
        <v>31</v>
      </c>
      <c r="G65" s="73"/>
      <c r="H65" s="73">
        <f>(InvoiceDetails[[#This Row],[Qty]]*InvoiceDetails[[#This Row],[Unit price]])-InvoiceDetails[[#This Row],[Discount]]</f>
        <v>26505</v>
      </c>
    </row>
    <row r="66" spans="2:8" ht="34.049999999999997" customHeight="1" x14ac:dyDescent="0.3">
      <c r="B66" s="51" t="str">
        <f>'Sales Data'!C65</f>
        <v>INV-2303-063</v>
      </c>
      <c r="C66" s="31"/>
      <c r="D66" s="16" t="str">
        <f>'Sales Data'!E65</f>
        <v>ED-IND-UO35Y-84</v>
      </c>
      <c r="E66" s="52">
        <f>'Sales Data'!G65</f>
        <v>745</v>
      </c>
      <c r="F66" s="72">
        <f>'Sales Data'!H65</f>
        <v>29</v>
      </c>
      <c r="G66" s="73"/>
      <c r="H66" s="73">
        <f>(InvoiceDetails[[#This Row],[Qty]]*InvoiceDetails[[#This Row],[Unit price]])-InvoiceDetails[[#This Row],[Discount]]</f>
        <v>21605</v>
      </c>
    </row>
    <row r="67" spans="2:8" ht="34.049999999999997" customHeight="1" x14ac:dyDescent="0.3">
      <c r="B67" s="51" t="str">
        <f>'Sales Data'!C66</f>
        <v>INV-2303-064</v>
      </c>
      <c r="C67" s="31"/>
      <c r="D67" s="16" t="str">
        <f>'Sales Data'!E66</f>
        <v>ED-IND-WC75U-48</v>
      </c>
      <c r="E67" s="52">
        <f>'Sales Data'!G66</f>
        <v>814</v>
      </c>
      <c r="F67" s="72">
        <f>'Sales Data'!H66</f>
        <v>23</v>
      </c>
      <c r="G67" s="73"/>
      <c r="H67" s="73">
        <f>(InvoiceDetails[[#This Row],[Qty]]*InvoiceDetails[[#This Row],[Unit price]])-InvoiceDetails[[#This Row],[Discount]]</f>
        <v>18722</v>
      </c>
    </row>
    <row r="68" spans="2:8" ht="34.049999999999997" customHeight="1" x14ac:dyDescent="0.3">
      <c r="B68" s="51" t="str">
        <f>'Sales Data'!C67</f>
        <v>INV-2303-065</v>
      </c>
      <c r="C68" s="31"/>
      <c r="D68" s="16" t="str">
        <f>'Sales Data'!E67</f>
        <v>ED-IND-VI66F-85</v>
      </c>
      <c r="E68" s="52">
        <f>'Sales Data'!G67</f>
        <v>596</v>
      </c>
      <c r="F68" s="72">
        <f>'Sales Data'!H67</f>
        <v>24</v>
      </c>
      <c r="G68" s="73"/>
      <c r="H68" s="73">
        <f>(InvoiceDetails[[#This Row],[Qty]]*InvoiceDetails[[#This Row],[Unit price]])-InvoiceDetails[[#This Row],[Discount]]</f>
        <v>14304</v>
      </c>
    </row>
    <row r="69" spans="2:8" ht="34.049999999999997" customHeight="1" x14ac:dyDescent="0.3">
      <c r="B69" s="51" t="str">
        <f>'Sales Data'!C68</f>
        <v>INV-2303-066</v>
      </c>
      <c r="C69" s="31"/>
      <c r="D69" s="16" t="str">
        <f>'Sales Data'!E68</f>
        <v>ED-IND-YC36B-91</v>
      </c>
      <c r="E69" s="52">
        <f>'Sales Data'!G68</f>
        <v>600</v>
      </c>
      <c r="F69" s="72">
        <f>'Sales Data'!H68</f>
        <v>23</v>
      </c>
      <c r="G69" s="73"/>
      <c r="H69" s="73">
        <f>(InvoiceDetails[[#This Row],[Qty]]*InvoiceDetails[[#This Row],[Unit price]])-InvoiceDetails[[#This Row],[Discount]]</f>
        <v>13800</v>
      </c>
    </row>
    <row r="70" spans="2:8" ht="34.049999999999997" customHeight="1" x14ac:dyDescent="0.3">
      <c r="B70" s="51" t="str">
        <f>'Sales Data'!C69</f>
        <v>INV-2303-067</v>
      </c>
      <c r="C70" s="31"/>
      <c r="D70" s="16" t="str">
        <f>'Sales Data'!E69</f>
        <v>ED-IND-OY60I-98</v>
      </c>
      <c r="E70" s="52">
        <f>'Sales Data'!G69</f>
        <v>559</v>
      </c>
      <c r="F70" s="72">
        <f>'Sales Data'!H69</f>
        <v>25</v>
      </c>
      <c r="G70" s="73"/>
      <c r="H70" s="73">
        <f>(InvoiceDetails[[#This Row],[Qty]]*InvoiceDetails[[#This Row],[Unit price]])-InvoiceDetails[[#This Row],[Discount]]</f>
        <v>13975</v>
      </c>
    </row>
    <row r="71" spans="2:8" ht="34.049999999999997" customHeight="1" x14ac:dyDescent="0.3">
      <c r="B71" s="51" t="str">
        <f>'Sales Data'!C70</f>
        <v>INV-2303-068</v>
      </c>
      <c r="C71" s="31"/>
      <c r="D71" s="16" t="str">
        <f>'Sales Data'!E70</f>
        <v>ED-IND-XG60R-26</v>
      </c>
      <c r="E71" s="52">
        <f>'Sales Data'!G70</f>
        <v>525</v>
      </c>
      <c r="F71" s="72">
        <f>'Sales Data'!H70</f>
        <v>27</v>
      </c>
      <c r="G71" s="73"/>
      <c r="H71" s="73">
        <f>(InvoiceDetails[[#This Row],[Qty]]*InvoiceDetails[[#This Row],[Unit price]])-InvoiceDetails[[#This Row],[Discount]]</f>
        <v>14175</v>
      </c>
    </row>
    <row r="72" spans="2:8" ht="34.049999999999997" customHeight="1" x14ac:dyDescent="0.3">
      <c r="B72" s="51" t="str">
        <f>'Sales Data'!C71</f>
        <v>INV-2303-069</v>
      </c>
      <c r="C72" s="31"/>
      <c r="D72" s="16" t="str">
        <f>'Sales Data'!E71</f>
        <v>ED-IND-CS52R-24</v>
      </c>
      <c r="E72" s="52">
        <f>'Sales Data'!G71</f>
        <v>515</v>
      </c>
      <c r="F72" s="72">
        <f>'Sales Data'!H71</f>
        <v>23</v>
      </c>
      <c r="G72" s="73"/>
      <c r="H72" s="73">
        <f>(InvoiceDetails[[#This Row],[Qty]]*InvoiceDetails[[#This Row],[Unit price]])-InvoiceDetails[[#This Row],[Discount]]</f>
        <v>11845</v>
      </c>
    </row>
    <row r="73" spans="2:8" ht="34.049999999999997" customHeight="1" x14ac:dyDescent="0.3">
      <c r="B73" s="51" t="str">
        <f>'Sales Data'!C72</f>
        <v>INV-2303-070</v>
      </c>
      <c r="C73" s="31"/>
      <c r="D73" s="16" t="str">
        <f>'Sales Data'!E72</f>
        <v>PC-IND-NV48C-82</v>
      </c>
      <c r="E73" s="52">
        <f>'Sales Data'!G72</f>
        <v>994</v>
      </c>
      <c r="F73" s="72">
        <f>'Sales Data'!H72</f>
        <v>31</v>
      </c>
      <c r="G73" s="73"/>
      <c r="H73" s="73">
        <f>(InvoiceDetails[[#This Row],[Qty]]*InvoiceDetails[[#This Row],[Unit price]])-InvoiceDetails[[#This Row],[Discount]]</f>
        <v>30814</v>
      </c>
    </row>
    <row r="74" spans="2:8" ht="34.049999999999997" customHeight="1" x14ac:dyDescent="0.3">
      <c r="B74" s="51" t="str">
        <f>'Sales Data'!C73</f>
        <v>INV-2303-071</v>
      </c>
      <c r="C74" s="31"/>
      <c r="D74" s="16" t="str">
        <f>'Sales Data'!E73</f>
        <v>ED-IND-NX28D-24</v>
      </c>
      <c r="E74" s="52">
        <f>'Sales Data'!G73</f>
        <v>612</v>
      </c>
      <c r="F74" s="72">
        <f>'Sales Data'!H73</f>
        <v>30</v>
      </c>
      <c r="G74" s="73"/>
      <c r="H74" s="73">
        <f>(InvoiceDetails[[#This Row],[Qty]]*InvoiceDetails[[#This Row],[Unit price]])-InvoiceDetails[[#This Row],[Discount]]</f>
        <v>18360</v>
      </c>
    </row>
    <row r="75" spans="2:8" ht="34.049999999999997" customHeight="1" x14ac:dyDescent="0.3">
      <c r="B75" s="51" t="str">
        <f>'Sales Data'!C74</f>
        <v>INV-2303-072</v>
      </c>
      <c r="C75" s="31"/>
      <c r="D75" s="16" t="str">
        <f>'Sales Data'!E74</f>
        <v>ED-IND-CH77P-15</v>
      </c>
      <c r="E75" s="52">
        <f>'Sales Data'!G74</f>
        <v>600</v>
      </c>
      <c r="F75" s="72">
        <f>'Sales Data'!H74</f>
        <v>24</v>
      </c>
      <c r="G75" s="73"/>
      <c r="H75" s="73">
        <f>(InvoiceDetails[[#This Row],[Qty]]*InvoiceDetails[[#This Row],[Unit price]])-InvoiceDetails[[#This Row],[Discount]]</f>
        <v>14400</v>
      </c>
    </row>
    <row r="76" spans="2:8" ht="34.049999999999997" customHeight="1" x14ac:dyDescent="0.3">
      <c r="B76" s="51" t="str">
        <f>'Sales Data'!C75</f>
        <v>INV-2303-073</v>
      </c>
      <c r="C76" s="31"/>
      <c r="D76" s="16" t="str">
        <f>'Sales Data'!E75</f>
        <v>PC-IND-UH37Z-41</v>
      </c>
      <c r="E76" s="52">
        <f>'Sales Data'!G75</f>
        <v>796</v>
      </c>
      <c r="F76" s="72">
        <f>'Sales Data'!H75</f>
        <v>27</v>
      </c>
      <c r="G76" s="73"/>
      <c r="H76" s="73">
        <f>(InvoiceDetails[[#This Row],[Qty]]*InvoiceDetails[[#This Row],[Unit price]])-InvoiceDetails[[#This Row],[Discount]]</f>
        <v>21492</v>
      </c>
    </row>
    <row r="77" spans="2:8" ht="34.049999999999997" customHeight="1" x14ac:dyDescent="0.3">
      <c r="B77" s="51" t="str">
        <f>'Sales Data'!C76</f>
        <v>INV-2303-074</v>
      </c>
      <c r="C77" s="31"/>
      <c r="D77" s="16" t="str">
        <f>'Sales Data'!E76</f>
        <v>ED-IND-ZO41P-67</v>
      </c>
      <c r="E77" s="52">
        <f>'Sales Data'!G76</f>
        <v>646</v>
      </c>
      <c r="F77" s="72">
        <f>'Sales Data'!H76</f>
        <v>28</v>
      </c>
      <c r="G77" s="73"/>
      <c r="H77" s="73">
        <f>(InvoiceDetails[[#This Row],[Qty]]*InvoiceDetails[[#This Row],[Unit price]])-InvoiceDetails[[#This Row],[Discount]]</f>
        <v>18088</v>
      </c>
    </row>
    <row r="78" spans="2:8" ht="34.049999999999997" customHeight="1" x14ac:dyDescent="0.3">
      <c r="B78" s="51" t="str">
        <f>'Sales Data'!C77</f>
        <v>INV-2303-075</v>
      </c>
      <c r="C78" s="31"/>
      <c r="D78" s="16" t="str">
        <f>'Sales Data'!E77</f>
        <v>ED-IND-GX35M-86</v>
      </c>
      <c r="E78" s="52">
        <f>'Sales Data'!G77</f>
        <v>904</v>
      </c>
      <c r="F78" s="72">
        <f>'Sales Data'!H77</f>
        <v>28</v>
      </c>
      <c r="G78" s="73"/>
      <c r="H78" s="73">
        <f>(InvoiceDetails[[#This Row],[Qty]]*InvoiceDetails[[#This Row],[Unit price]])-InvoiceDetails[[#This Row],[Discount]]</f>
        <v>25312</v>
      </c>
    </row>
    <row r="79" spans="2:8" ht="34.049999999999997" customHeight="1" x14ac:dyDescent="0.3">
      <c r="B79" s="51" t="str">
        <f>'Sales Data'!C78</f>
        <v>INV-2303-076</v>
      </c>
      <c r="C79" s="31"/>
      <c r="D79" s="16" t="str">
        <f>'Sales Data'!E78</f>
        <v>ED-IND-OU56N-39</v>
      </c>
      <c r="E79" s="52">
        <f>'Sales Data'!G78</f>
        <v>658</v>
      </c>
      <c r="F79" s="72">
        <f>'Sales Data'!H78</f>
        <v>24</v>
      </c>
      <c r="G79" s="73"/>
      <c r="H79" s="73">
        <f>(InvoiceDetails[[#This Row],[Qty]]*InvoiceDetails[[#This Row],[Unit price]])-InvoiceDetails[[#This Row],[Discount]]</f>
        <v>15792</v>
      </c>
    </row>
    <row r="80" spans="2:8" ht="34.049999999999997" customHeight="1" x14ac:dyDescent="0.3">
      <c r="B80" s="51" t="str">
        <f>'Sales Data'!C79</f>
        <v>INV-2303-077</v>
      </c>
      <c r="C80" s="31"/>
      <c r="D80" s="16" t="str">
        <f>'Sales Data'!E79</f>
        <v>ED-IND-UI23S-73</v>
      </c>
      <c r="E80" s="52">
        <f>'Sales Data'!G79</f>
        <v>579</v>
      </c>
      <c r="F80" s="72">
        <f>'Sales Data'!H79</f>
        <v>31</v>
      </c>
      <c r="G80" s="73"/>
      <c r="H80" s="73">
        <f>(InvoiceDetails[[#This Row],[Qty]]*InvoiceDetails[[#This Row],[Unit price]])-InvoiceDetails[[#This Row],[Discount]]</f>
        <v>17949</v>
      </c>
    </row>
    <row r="81" spans="2:8" ht="34.049999999999997" customHeight="1" x14ac:dyDescent="0.3">
      <c r="B81" s="51" t="str">
        <f>'Sales Data'!C80</f>
        <v>INV-2303-078</v>
      </c>
      <c r="C81" s="31"/>
      <c r="D81" s="16" t="str">
        <f>'Sales Data'!E80</f>
        <v>PC-IND-UM23Y-80</v>
      </c>
      <c r="E81" s="52">
        <f>'Sales Data'!G80</f>
        <v>850</v>
      </c>
      <c r="F81" s="72">
        <f>'Sales Data'!H80</f>
        <v>27</v>
      </c>
      <c r="G81" s="73"/>
      <c r="H81" s="73">
        <f>(InvoiceDetails[[#This Row],[Qty]]*InvoiceDetails[[#This Row],[Unit price]])-InvoiceDetails[[#This Row],[Discount]]</f>
        <v>22950</v>
      </c>
    </row>
    <row r="82" spans="2:8" ht="34.049999999999997" customHeight="1" x14ac:dyDescent="0.3">
      <c r="B82" s="51" t="str">
        <f>'Sales Data'!C81</f>
        <v>INV-2303-079</v>
      </c>
      <c r="C82" s="31"/>
      <c r="D82" s="16" t="str">
        <f>'Sales Data'!E81</f>
        <v>ED-IND-HV35O-07</v>
      </c>
      <c r="E82" s="52">
        <f>'Sales Data'!G81</f>
        <v>760</v>
      </c>
      <c r="F82" s="72">
        <f>'Sales Data'!H81</f>
        <v>21</v>
      </c>
      <c r="G82" s="73"/>
      <c r="H82" s="73">
        <f>(InvoiceDetails[[#This Row],[Qty]]*InvoiceDetails[[#This Row],[Unit price]])-InvoiceDetails[[#This Row],[Discount]]</f>
        <v>15960</v>
      </c>
    </row>
    <row r="83" spans="2:8" ht="34.049999999999997" customHeight="1" x14ac:dyDescent="0.3">
      <c r="B83" s="51" t="str">
        <f>'Sales Data'!C82</f>
        <v>INV-2303-080</v>
      </c>
      <c r="C83" s="31"/>
      <c r="D83" s="16" t="str">
        <f>'Sales Data'!E82</f>
        <v>ED-IND-EA54N-59</v>
      </c>
      <c r="E83" s="52">
        <f>'Sales Data'!G82</f>
        <v>826</v>
      </c>
      <c r="F83" s="72">
        <f>'Sales Data'!H82</f>
        <v>30</v>
      </c>
      <c r="G83" s="73"/>
      <c r="H83" s="73">
        <f>(InvoiceDetails[[#This Row],[Qty]]*InvoiceDetails[[#This Row],[Unit price]])-InvoiceDetails[[#This Row],[Discount]]</f>
        <v>24780</v>
      </c>
    </row>
    <row r="84" spans="2:8" ht="34.049999999999997" customHeight="1" x14ac:dyDescent="0.3">
      <c r="B84" s="51" t="str">
        <f>'Sales Data'!C83</f>
        <v>INV-2303-081</v>
      </c>
      <c r="C84" s="31"/>
      <c r="D84" s="16" t="str">
        <f>'Sales Data'!E83</f>
        <v>ED-IND-OF90U-44</v>
      </c>
      <c r="E84" s="52">
        <f>'Sales Data'!G83</f>
        <v>996</v>
      </c>
      <c r="F84" s="72">
        <f>'Sales Data'!H83</f>
        <v>21</v>
      </c>
      <c r="G84" s="73"/>
      <c r="H84" s="73">
        <f>(InvoiceDetails[[#This Row],[Qty]]*InvoiceDetails[[#This Row],[Unit price]])-InvoiceDetails[[#This Row],[Discount]]</f>
        <v>20916</v>
      </c>
    </row>
    <row r="85" spans="2:8" ht="34.049999999999997" customHeight="1" x14ac:dyDescent="0.3">
      <c r="B85" s="51" t="str">
        <f>'Sales Data'!C84</f>
        <v>INV-2303-082</v>
      </c>
      <c r="C85" s="31"/>
      <c r="D85" s="16" t="str">
        <f>'Sales Data'!E84</f>
        <v>ED-IND-CG97S-91</v>
      </c>
      <c r="E85" s="52">
        <f>'Sales Data'!G84</f>
        <v>687</v>
      </c>
      <c r="F85" s="72">
        <f>'Sales Data'!H84</f>
        <v>23</v>
      </c>
      <c r="G85" s="73"/>
      <c r="H85" s="73">
        <f>(InvoiceDetails[[#This Row],[Qty]]*InvoiceDetails[[#This Row],[Unit price]])-InvoiceDetails[[#This Row],[Discount]]</f>
        <v>15801</v>
      </c>
    </row>
    <row r="86" spans="2:8" ht="34.049999999999997" customHeight="1" x14ac:dyDescent="0.3">
      <c r="B86" s="51" t="str">
        <f>'Sales Data'!C85</f>
        <v>INV-2303-083</v>
      </c>
      <c r="C86" s="31"/>
      <c r="D86" s="16" t="str">
        <f>'Sales Data'!E85</f>
        <v>PC-IND-XP23F-58</v>
      </c>
      <c r="E86" s="52">
        <f>'Sales Data'!G85</f>
        <v>801</v>
      </c>
      <c r="F86" s="72">
        <f>'Sales Data'!H85</f>
        <v>22</v>
      </c>
      <c r="G86" s="73"/>
      <c r="H86" s="73">
        <f>(InvoiceDetails[[#This Row],[Qty]]*InvoiceDetails[[#This Row],[Unit price]])-InvoiceDetails[[#This Row],[Discount]]</f>
        <v>17622</v>
      </c>
    </row>
    <row r="87" spans="2:8" ht="34.049999999999997" customHeight="1" x14ac:dyDescent="0.3">
      <c r="B87" s="51" t="str">
        <f>'Sales Data'!C86</f>
        <v>INV-2303-084</v>
      </c>
      <c r="C87" s="31"/>
      <c r="D87" s="16" t="str">
        <f>'Sales Data'!E86</f>
        <v>ED-IND-MB35F-33</v>
      </c>
      <c r="E87" s="52">
        <f>'Sales Data'!G86</f>
        <v>654</v>
      </c>
      <c r="F87" s="72">
        <f>'Sales Data'!H86</f>
        <v>28</v>
      </c>
      <c r="G87" s="73"/>
      <c r="H87" s="73">
        <f>(InvoiceDetails[[#This Row],[Qty]]*InvoiceDetails[[#This Row],[Unit price]])-InvoiceDetails[[#This Row],[Discount]]</f>
        <v>18312</v>
      </c>
    </row>
    <row r="88" spans="2:8" ht="34.049999999999997" customHeight="1" x14ac:dyDescent="0.3">
      <c r="B88" s="51" t="str">
        <f>'Sales Data'!C87</f>
        <v>INV-2303-085</v>
      </c>
      <c r="C88" s="31"/>
      <c r="D88" s="16" t="str">
        <f>'Sales Data'!E87</f>
        <v>PC-IND-ER23B-32</v>
      </c>
      <c r="E88" s="52">
        <f>'Sales Data'!G87</f>
        <v>861</v>
      </c>
      <c r="F88" s="72">
        <f>'Sales Data'!H87</f>
        <v>30</v>
      </c>
      <c r="G88" s="73"/>
      <c r="H88" s="73">
        <f>(InvoiceDetails[[#This Row],[Qty]]*InvoiceDetails[[#This Row],[Unit price]])-InvoiceDetails[[#This Row],[Discount]]</f>
        <v>25830</v>
      </c>
    </row>
    <row r="89" spans="2:8" ht="34.049999999999997" customHeight="1" x14ac:dyDescent="0.3">
      <c r="B89" s="51" t="str">
        <f>'Sales Data'!C88</f>
        <v>INV-2303-086</v>
      </c>
      <c r="C89" s="31"/>
      <c r="D89" s="16" t="str">
        <f>'Sales Data'!E88</f>
        <v>ED-IND-TK21X-49</v>
      </c>
      <c r="E89" s="52">
        <f>'Sales Data'!G88</f>
        <v>670</v>
      </c>
      <c r="F89" s="72">
        <f>'Sales Data'!H88</f>
        <v>26</v>
      </c>
      <c r="G89" s="73"/>
      <c r="H89" s="73">
        <f>(InvoiceDetails[[#This Row],[Qty]]*InvoiceDetails[[#This Row],[Unit price]])-InvoiceDetails[[#This Row],[Discount]]</f>
        <v>17420</v>
      </c>
    </row>
    <row r="90" spans="2:8" ht="34.049999999999997" customHeight="1" x14ac:dyDescent="0.3">
      <c r="B90" s="51" t="str">
        <f>'Sales Data'!C89</f>
        <v>INV-2303-087</v>
      </c>
      <c r="C90" s="31"/>
      <c r="D90" s="16" t="str">
        <f>'Sales Data'!E89</f>
        <v>ED-IND-MD71Z-33</v>
      </c>
      <c r="E90" s="52">
        <f>'Sales Data'!G89</f>
        <v>679</v>
      </c>
      <c r="F90" s="72">
        <f>'Sales Data'!H89</f>
        <v>29</v>
      </c>
      <c r="G90" s="73"/>
      <c r="H90" s="73">
        <f>(InvoiceDetails[[#This Row],[Qty]]*InvoiceDetails[[#This Row],[Unit price]])-InvoiceDetails[[#This Row],[Discount]]</f>
        <v>19691</v>
      </c>
    </row>
    <row r="91" spans="2:8" ht="34.049999999999997" customHeight="1" x14ac:dyDescent="0.3">
      <c r="B91" s="51" t="str">
        <f>'Sales Data'!C90</f>
        <v>INV-2304-088</v>
      </c>
      <c r="C91" s="31"/>
      <c r="D91" s="16" t="str">
        <f>'Sales Data'!E90</f>
        <v>ED-IND-RE23I-36</v>
      </c>
      <c r="E91" s="52">
        <f>'Sales Data'!G90</f>
        <v>737</v>
      </c>
      <c r="F91" s="72">
        <f>'Sales Data'!H90</f>
        <v>28</v>
      </c>
      <c r="G91" s="73"/>
      <c r="H91" s="73">
        <f>(InvoiceDetails[[#This Row],[Qty]]*InvoiceDetails[[#This Row],[Unit price]])-InvoiceDetails[[#This Row],[Discount]]</f>
        <v>20636</v>
      </c>
    </row>
    <row r="92" spans="2:8" ht="34.049999999999997" customHeight="1" x14ac:dyDescent="0.3">
      <c r="B92" s="51" t="str">
        <f>'Sales Data'!C91</f>
        <v>INV-2304-089</v>
      </c>
      <c r="C92" s="31"/>
      <c r="D92" s="16" t="str">
        <f>'Sales Data'!E91</f>
        <v>ED-IND-SO10G-98</v>
      </c>
      <c r="E92" s="52">
        <f>'Sales Data'!G91</f>
        <v>875</v>
      </c>
      <c r="F92" s="72">
        <f>'Sales Data'!H91</f>
        <v>31</v>
      </c>
      <c r="G92" s="73"/>
      <c r="H92" s="73">
        <f>(InvoiceDetails[[#This Row],[Qty]]*InvoiceDetails[[#This Row],[Unit price]])-InvoiceDetails[[#This Row],[Discount]]</f>
        <v>27125</v>
      </c>
    </row>
    <row r="93" spans="2:8" ht="34.049999999999997" customHeight="1" x14ac:dyDescent="0.3">
      <c r="B93" s="51" t="str">
        <f>'Sales Data'!C92</f>
        <v>INV-2304-090</v>
      </c>
      <c r="C93" s="31"/>
      <c r="D93" s="16" t="str">
        <f>'Sales Data'!E92</f>
        <v>ED-IND-OT97S-95</v>
      </c>
      <c r="E93" s="52">
        <f>'Sales Data'!G92</f>
        <v>624</v>
      </c>
      <c r="F93" s="72">
        <f>'Sales Data'!H92</f>
        <v>21</v>
      </c>
      <c r="G93" s="73"/>
      <c r="H93" s="73">
        <f>(InvoiceDetails[[#This Row],[Qty]]*InvoiceDetails[[#This Row],[Unit price]])-InvoiceDetails[[#This Row],[Discount]]</f>
        <v>13104</v>
      </c>
    </row>
    <row r="94" spans="2:8" ht="34.049999999999997" customHeight="1" x14ac:dyDescent="0.3">
      <c r="B94" s="51" t="str">
        <f>'Sales Data'!C93</f>
        <v>INV-2304-091</v>
      </c>
      <c r="C94" s="31"/>
      <c r="D94" s="16" t="str">
        <f>'Sales Data'!E93</f>
        <v>ED-IND-VE46H-87</v>
      </c>
      <c r="E94" s="52">
        <f>'Sales Data'!G93</f>
        <v>965</v>
      </c>
      <c r="F94" s="72">
        <f>'Sales Data'!H93</f>
        <v>28</v>
      </c>
      <c r="G94" s="73"/>
      <c r="H94" s="73">
        <f>(InvoiceDetails[[#This Row],[Qty]]*InvoiceDetails[[#This Row],[Unit price]])-InvoiceDetails[[#This Row],[Discount]]</f>
        <v>27020</v>
      </c>
    </row>
    <row r="95" spans="2:8" ht="34.049999999999997" customHeight="1" x14ac:dyDescent="0.3">
      <c r="B95" s="51" t="str">
        <f>'Sales Data'!C94</f>
        <v>INV-2304-092</v>
      </c>
      <c r="C95" s="31"/>
      <c r="D95" s="16" t="str">
        <f>'Sales Data'!E94</f>
        <v>ED-IND-WT93J-16</v>
      </c>
      <c r="E95" s="52">
        <f>'Sales Data'!G94</f>
        <v>905</v>
      </c>
      <c r="F95" s="72">
        <f>'Sales Data'!H94</f>
        <v>25</v>
      </c>
      <c r="G95" s="73"/>
      <c r="H95" s="73">
        <f>(InvoiceDetails[[#This Row],[Qty]]*InvoiceDetails[[#This Row],[Unit price]])-InvoiceDetails[[#This Row],[Discount]]</f>
        <v>22625</v>
      </c>
    </row>
    <row r="96" spans="2:8" ht="34.049999999999997" customHeight="1" x14ac:dyDescent="0.3">
      <c r="B96" s="51" t="str">
        <f>'Sales Data'!C95</f>
        <v>INV-2304-093</v>
      </c>
      <c r="C96" s="31"/>
      <c r="D96" s="16" t="str">
        <f>'Sales Data'!E95</f>
        <v>ED-IND-XG21Z-52</v>
      </c>
      <c r="E96" s="52">
        <f>'Sales Data'!G95</f>
        <v>745</v>
      </c>
      <c r="F96" s="72">
        <f>'Sales Data'!H95</f>
        <v>31</v>
      </c>
      <c r="G96" s="73"/>
      <c r="H96" s="73">
        <f>(InvoiceDetails[[#This Row],[Qty]]*InvoiceDetails[[#This Row],[Unit price]])-InvoiceDetails[[#This Row],[Discount]]</f>
        <v>23095</v>
      </c>
    </row>
    <row r="97" spans="2:8" ht="34.049999999999997" customHeight="1" x14ac:dyDescent="0.3">
      <c r="B97" s="51" t="str">
        <f>'Sales Data'!C96</f>
        <v>INV-2304-094</v>
      </c>
      <c r="C97" s="31"/>
      <c r="D97" s="16" t="str">
        <f>'Sales Data'!E96</f>
        <v>ED-IND-RV23E-35</v>
      </c>
      <c r="E97" s="52">
        <f>'Sales Data'!G96</f>
        <v>937</v>
      </c>
      <c r="F97" s="72">
        <f>'Sales Data'!H96</f>
        <v>25</v>
      </c>
      <c r="G97" s="73"/>
      <c r="H97" s="73">
        <f>(InvoiceDetails[[#This Row],[Qty]]*InvoiceDetails[[#This Row],[Unit price]])-InvoiceDetails[[#This Row],[Discount]]</f>
        <v>23425</v>
      </c>
    </row>
    <row r="98" spans="2:8" ht="34.049999999999997" customHeight="1" x14ac:dyDescent="0.3">
      <c r="B98" s="51" t="str">
        <f>'Sales Data'!C97</f>
        <v>INV-2304-095</v>
      </c>
      <c r="C98" s="31"/>
      <c r="D98" s="16" t="str">
        <f>'Sales Data'!E97</f>
        <v>PC-IND-LZ75M-90</v>
      </c>
      <c r="E98" s="52">
        <f>'Sales Data'!G97</f>
        <v>879</v>
      </c>
      <c r="F98" s="72">
        <f>'Sales Data'!H97</f>
        <v>24</v>
      </c>
      <c r="G98" s="73"/>
      <c r="H98" s="73">
        <f>(InvoiceDetails[[#This Row],[Qty]]*InvoiceDetails[[#This Row],[Unit price]])-InvoiceDetails[[#This Row],[Discount]]</f>
        <v>21096</v>
      </c>
    </row>
    <row r="99" spans="2:8" ht="34.049999999999997" customHeight="1" x14ac:dyDescent="0.3">
      <c r="B99" s="51" t="str">
        <f>'Sales Data'!C98</f>
        <v>INV-2304-096</v>
      </c>
      <c r="C99" s="31"/>
      <c r="D99" s="16" t="str">
        <f>'Sales Data'!E98</f>
        <v>ED-IND-UQ77Y-73</v>
      </c>
      <c r="E99" s="52">
        <f>'Sales Data'!G98</f>
        <v>530</v>
      </c>
      <c r="F99" s="72">
        <f>'Sales Data'!H98</f>
        <v>21</v>
      </c>
      <c r="G99" s="73"/>
      <c r="H99" s="73">
        <f>(InvoiceDetails[[#This Row],[Qty]]*InvoiceDetails[[#This Row],[Unit price]])-InvoiceDetails[[#This Row],[Discount]]</f>
        <v>11130</v>
      </c>
    </row>
    <row r="100" spans="2:8" ht="34.049999999999997" customHeight="1" x14ac:dyDescent="0.3">
      <c r="B100" s="51" t="str">
        <f>'Sales Data'!C99</f>
        <v>INV-2304-097</v>
      </c>
      <c r="C100" s="31"/>
      <c r="D100" s="16" t="str">
        <f>'Sales Data'!E99</f>
        <v>ED-IND-VZ33V-78</v>
      </c>
      <c r="E100" s="52">
        <f>'Sales Data'!G99</f>
        <v>787</v>
      </c>
      <c r="F100" s="72">
        <f>'Sales Data'!H99</f>
        <v>25</v>
      </c>
      <c r="G100" s="73"/>
      <c r="H100" s="73">
        <f>(InvoiceDetails[[#This Row],[Qty]]*InvoiceDetails[[#This Row],[Unit price]])-InvoiceDetails[[#This Row],[Discount]]</f>
        <v>19675</v>
      </c>
    </row>
    <row r="101" spans="2:8" ht="34.049999999999997" customHeight="1" x14ac:dyDescent="0.3">
      <c r="B101" s="51" t="str">
        <f>'Sales Data'!C100</f>
        <v>INV-2304-098</v>
      </c>
      <c r="C101" s="31"/>
      <c r="D101" s="16" t="str">
        <f>'Sales Data'!E100</f>
        <v>ED-IND-KP29U-64</v>
      </c>
      <c r="E101" s="52">
        <f>'Sales Data'!G100</f>
        <v>683</v>
      </c>
      <c r="F101" s="72">
        <f>'Sales Data'!H100</f>
        <v>29</v>
      </c>
      <c r="G101" s="73"/>
      <c r="H101" s="73">
        <f>(InvoiceDetails[[#This Row],[Qty]]*InvoiceDetails[[#This Row],[Unit price]])-InvoiceDetails[[#This Row],[Discount]]</f>
        <v>19807</v>
      </c>
    </row>
    <row r="102" spans="2:8" ht="34.049999999999997" customHeight="1" x14ac:dyDescent="0.3">
      <c r="B102" s="51" t="str">
        <f>'Sales Data'!C101</f>
        <v>INV-2304-099</v>
      </c>
      <c r="C102" s="31"/>
      <c r="D102" s="16" t="str">
        <f>'Sales Data'!E101</f>
        <v>ED-IND-VL64H-61</v>
      </c>
      <c r="E102" s="52">
        <f>'Sales Data'!G101</f>
        <v>714</v>
      </c>
      <c r="F102" s="72">
        <f>'Sales Data'!H101</f>
        <v>22</v>
      </c>
      <c r="G102" s="73"/>
      <c r="H102" s="73">
        <f>(InvoiceDetails[[#This Row],[Qty]]*InvoiceDetails[[#This Row],[Unit price]])-InvoiceDetails[[#This Row],[Discount]]</f>
        <v>15708</v>
      </c>
    </row>
    <row r="103" spans="2:8" ht="34.049999999999997" customHeight="1" x14ac:dyDescent="0.3">
      <c r="B103" s="51" t="str">
        <f>'Sales Data'!C102</f>
        <v>INV-2304-100</v>
      </c>
      <c r="C103" s="31"/>
      <c r="D103" s="16" t="str">
        <f>'Sales Data'!E102</f>
        <v>ED-IND-GP92Y-40</v>
      </c>
      <c r="E103" s="52">
        <f>'Sales Data'!G102</f>
        <v>647</v>
      </c>
      <c r="F103" s="72">
        <f>'Sales Data'!H102</f>
        <v>31</v>
      </c>
      <c r="G103" s="73"/>
      <c r="H103" s="73">
        <f>(InvoiceDetails[[#This Row],[Qty]]*InvoiceDetails[[#This Row],[Unit price]])-InvoiceDetails[[#This Row],[Discount]]</f>
        <v>20057</v>
      </c>
    </row>
    <row r="104" spans="2:8" ht="34.049999999999997" customHeight="1" x14ac:dyDescent="0.3">
      <c r="B104" s="51" t="str">
        <f>'Sales Data'!C103</f>
        <v>INV-2304-101</v>
      </c>
      <c r="C104" s="31"/>
      <c r="D104" s="16" t="str">
        <f>'Sales Data'!E103</f>
        <v>ED-IND-TL47X-97</v>
      </c>
      <c r="E104" s="52">
        <f>'Sales Data'!G103</f>
        <v>625</v>
      </c>
      <c r="F104" s="72">
        <f>'Sales Data'!H103</f>
        <v>22</v>
      </c>
      <c r="G104" s="73"/>
      <c r="H104" s="73">
        <f>(InvoiceDetails[[#This Row],[Qty]]*InvoiceDetails[[#This Row],[Unit price]])-InvoiceDetails[[#This Row],[Discount]]</f>
        <v>13750</v>
      </c>
    </row>
    <row r="105" spans="2:8" ht="34.049999999999997" customHeight="1" x14ac:dyDescent="0.3">
      <c r="B105" s="51" t="str">
        <f>'Sales Data'!C104</f>
        <v>INV-2304-102</v>
      </c>
      <c r="C105" s="31"/>
      <c r="D105" s="16" t="str">
        <f>'Sales Data'!E104</f>
        <v>ED-IND-II58Q-32</v>
      </c>
      <c r="E105" s="52">
        <f>'Sales Data'!G104</f>
        <v>558</v>
      </c>
      <c r="F105" s="72">
        <f>'Sales Data'!H104</f>
        <v>23</v>
      </c>
      <c r="G105" s="73"/>
      <c r="H105" s="73">
        <f>(InvoiceDetails[[#This Row],[Qty]]*InvoiceDetails[[#This Row],[Unit price]])-InvoiceDetails[[#This Row],[Discount]]</f>
        <v>12834</v>
      </c>
    </row>
    <row r="106" spans="2:8" ht="34.049999999999997" customHeight="1" x14ac:dyDescent="0.3">
      <c r="B106" s="51" t="str">
        <f>'Sales Data'!C105</f>
        <v>INV-2304-103</v>
      </c>
      <c r="C106" s="31"/>
      <c r="D106" s="16" t="str">
        <f>'Sales Data'!E105</f>
        <v>ED-IND-ER35R-77</v>
      </c>
      <c r="E106" s="52">
        <f>'Sales Data'!G105</f>
        <v>963</v>
      </c>
      <c r="F106" s="72">
        <f>'Sales Data'!H105</f>
        <v>25</v>
      </c>
      <c r="G106" s="73"/>
      <c r="H106" s="73">
        <f>(InvoiceDetails[[#This Row],[Qty]]*InvoiceDetails[[#This Row],[Unit price]])-InvoiceDetails[[#This Row],[Discount]]</f>
        <v>24075</v>
      </c>
    </row>
    <row r="107" spans="2:8" ht="34.049999999999997" customHeight="1" x14ac:dyDescent="0.3">
      <c r="B107" s="51" t="str">
        <f>'Sales Data'!C106</f>
        <v>INV-2304-104</v>
      </c>
      <c r="C107" s="31"/>
      <c r="D107" s="16" t="str">
        <f>'Sales Data'!E106</f>
        <v>ED-IND-PH61H-24</v>
      </c>
      <c r="E107" s="52">
        <f>'Sales Data'!G106</f>
        <v>714</v>
      </c>
      <c r="F107" s="72">
        <f>'Sales Data'!H106</f>
        <v>30</v>
      </c>
      <c r="G107" s="73"/>
      <c r="H107" s="73">
        <f>(InvoiceDetails[[#This Row],[Qty]]*InvoiceDetails[[#This Row],[Unit price]])-InvoiceDetails[[#This Row],[Discount]]</f>
        <v>21420</v>
      </c>
    </row>
    <row r="108" spans="2:8" ht="34.049999999999997" customHeight="1" x14ac:dyDescent="0.3">
      <c r="B108" s="51" t="str">
        <f>'Sales Data'!C107</f>
        <v>INV-2304-105</v>
      </c>
      <c r="C108" s="31"/>
      <c r="D108" s="16" t="str">
        <f>'Sales Data'!E107</f>
        <v>ED-IND-IY70N-61</v>
      </c>
      <c r="E108" s="52">
        <f>'Sales Data'!G107</f>
        <v>620</v>
      </c>
      <c r="F108" s="72">
        <f>'Sales Data'!H107</f>
        <v>27</v>
      </c>
      <c r="G108" s="73"/>
      <c r="H108" s="73">
        <f>(InvoiceDetails[[#This Row],[Qty]]*InvoiceDetails[[#This Row],[Unit price]])-InvoiceDetails[[#This Row],[Discount]]</f>
        <v>16740</v>
      </c>
    </row>
    <row r="109" spans="2:8" ht="34.049999999999997" customHeight="1" x14ac:dyDescent="0.3">
      <c r="B109" s="51" t="str">
        <f>'Sales Data'!C108</f>
        <v>INV-2304-106</v>
      </c>
      <c r="C109" s="31"/>
      <c r="D109" s="16" t="str">
        <f>'Sales Data'!E108</f>
        <v>ED-IND-HE74P-83</v>
      </c>
      <c r="E109" s="52">
        <f>'Sales Data'!G108</f>
        <v>659</v>
      </c>
      <c r="F109" s="72">
        <f>'Sales Data'!H108</f>
        <v>22</v>
      </c>
      <c r="G109" s="73"/>
      <c r="H109" s="73">
        <f>(InvoiceDetails[[#This Row],[Qty]]*InvoiceDetails[[#This Row],[Unit price]])-InvoiceDetails[[#This Row],[Discount]]</f>
        <v>14498</v>
      </c>
    </row>
    <row r="110" spans="2:8" ht="34.049999999999997" customHeight="1" x14ac:dyDescent="0.3">
      <c r="B110" s="51" t="str">
        <f>'Sales Data'!C109</f>
        <v>INV-2304-107</v>
      </c>
      <c r="C110" s="31"/>
      <c r="D110" s="16" t="str">
        <f>'Sales Data'!E109</f>
        <v>PC-IND-VW41Z-97</v>
      </c>
      <c r="E110" s="52">
        <f>'Sales Data'!G109</f>
        <v>917</v>
      </c>
      <c r="F110" s="72">
        <f>'Sales Data'!H109</f>
        <v>26</v>
      </c>
      <c r="G110" s="73"/>
      <c r="H110" s="73">
        <f>(InvoiceDetails[[#This Row],[Qty]]*InvoiceDetails[[#This Row],[Unit price]])-InvoiceDetails[[#This Row],[Discount]]</f>
        <v>23842</v>
      </c>
    </row>
    <row r="111" spans="2:8" ht="34.049999999999997" customHeight="1" x14ac:dyDescent="0.3">
      <c r="B111" s="51" t="str">
        <f>'Sales Data'!C110</f>
        <v>INV-2304-108</v>
      </c>
      <c r="C111" s="31"/>
      <c r="D111" s="16" t="str">
        <f>'Sales Data'!E110</f>
        <v>ED-IND-UT28M-18</v>
      </c>
      <c r="E111" s="52">
        <f>'Sales Data'!G110</f>
        <v>912</v>
      </c>
      <c r="F111" s="72">
        <f>'Sales Data'!H110</f>
        <v>22</v>
      </c>
      <c r="G111" s="73"/>
      <c r="H111" s="73">
        <f>(InvoiceDetails[[#This Row],[Qty]]*InvoiceDetails[[#This Row],[Unit price]])-InvoiceDetails[[#This Row],[Discount]]</f>
        <v>20064</v>
      </c>
    </row>
    <row r="112" spans="2:8" ht="34.049999999999997" customHeight="1" x14ac:dyDescent="0.3">
      <c r="B112" s="51" t="str">
        <f>'Sales Data'!C111</f>
        <v>INV-2304-109</v>
      </c>
      <c r="C112" s="31"/>
      <c r="D112" s="16" t="str">
        <f>'Sales Data'!E111</f>
        <v>PC-IND-XN35M-02</v>
      </c>
      <c r="E112" s="52">
        <f>'Sales Data'!G111</f>
        <v>695</v>
      </c>
      <c r="F112" s="72">
        <f>'Sales Data'!H111</f>
        <v>31</v>
      </c>
      <c r="G112" s="73"/>
      <c r="H112" s="73">
        <f>(InvoiceDetails[[#This Row],[Qty]]*InvoiceDetails[[#This Row],[Unit price]])-InvoiceDetails[[#This Row],[Discount]]</f>
        <v>21545</v>
      </c>
    </row>
    <row r="113" spans="2:8" ht="34.049999999999997" customHeight="1" x14ac:dyDescent="0.3">
      <c r="B113" s="51" t="str">
        <f>'Sales Data'!C112</f>
        <v>INV-2304-110</v>
      </c>
      <c r="C113" s="31"/>
      <c r="D113" s="16" t="str">
        <f>'Sales Data'!E112</f>
        <v>ED-IND-UL71Z-17</v>
      </c>
      <c r="E113" s="52">
        <f>'Sales Data'!G112</f>
        <v>856</v>
      </c>
      <c r="F113" s="72">
        <f>'Sales Data'!H112</f>
        <v>29</v>
      </c>
      <c r="G113" s="73"/>
      <c r="H113" s="73">
        <f>(InvoiceDetails[[#This Row],[Qty]]*InvoiceDetails[[#This Row],[Unit price]])-InvoiceDetails[[#This Row],[Discount]]</f>
        <v>24824</v>
      </c>
    </row>
    <row r="114" spans="2:8" ht="34.049999999999997" customHeight="1" x14ac:dyDescent="0.3">
      <c r="B114" s="51" t="str">
        <f>'Sales Data'!C113</f>
        <v>INV-2304-111</v>
      </c>
      <c r="C114" s="31"/>
      <c r="D114" s="16" t="str">
        <f>'Sales Data'!E113</f>
        <v>ED-IND-AA26A-76</v>
      </c>
      <c r="E114" s="52">
        <f>'Sales Data'!G113</f>
        <v>502</v>
      </c>
      <c r="F114" s="72">
        <f>'Sales Data'!H113</f>
        <v>27</v>
      </c>
      <c r="G114" s="73"/>
      <c r="H114" s="73">
        <f>(InvoiceDetails[[#This Row],[Qty]]*InvoiceDetails[[#This Row],[Unit price]])-InvoiceDetails[[#This Row],[Discount]]</f>
        <v>13554</v>
      </c>
    </row>
    <row r="115" spans="2:8" ht="34.049999999999997" customHeight="1" x14ac:dyDescent="0.3">
      <c r="B115" s="51" t="str">
        <f>'Sales Data'!C114</f>
        <v>INV-2304-112</v>
      </c>
      <c r="C115" s="31"/>
      <c r="D115" s="16" t="str">
        <f>'Sales Data'!E114</f>
        <v>ED-IND-MJ79D-93</v>
      </c>
      <c r="E115" s="52">
        <f>'Sales Data'!G114</f>
        <v>985</v>
      </c>
      <c r="F115" s="72">
        <f>'Sales Data'!H114</f>
        <v>24</v>
      </c>
      <c r="G115" s="73"/>
      <c r="H115" s="73">
        <f>(InvoiceDetails[[#This Row],[Qty]]*InvoiceDetails[[#This Row],[Unit price]])-InvoiceDetails[[#This Row],[Discount]]</f>
        <v>23640</v>
      </c>
    </row>
    <row r="116" spans="2:8" ht="34.049999999999997" customHeight="1" x14ac:dyDescent="0.3">
      <c r="B116" s="51" t="str">
        <f>'Sales Data'!C115</f>
        <v>INV-2304-113</v>
      </c>
      <c r="C116" s="31"/>
      <c r="D116" s="16" t="str">
        <f>'Sales Data'!E115</f>
        <v>ED-IND-SF95H-66</v>
      </c>
      <c r="E116" s="52">
        <f>'Sales Data'!G115</f>
        <v>720</v>
      </c>
      <c r="F116" s="72">
        <f>'Sales Data'!H115</f>
        <v>26</v>
      </c>
      <c r="G116" s="73"/>
      <c r="H116" s="73">
        <f>(InvoiceDetails[[#This Row],[Qty]]*InvoiceDetails[[#This Row],[Unit price]])-InvoiceDetails[[#This Row],[Discount]]</f>
        <v>18720</v>
      </c>
    </row>
    <row r="117" spans="2:8" ht="34.049999999999997" customHeight="1" x14ac:dyDescent="0.3">
      <c r="B117" s="51" t="str">
        <f>'Sales Data'!C116</f>
        <v>INV-2304-114</v>
      </c>
      <c r="C117" s="31"/>
      <c r="D117" s="16" t="str">
        <f>'Sales Data'!E116</f>
        <v>ED-IND-MQ12S-87</v>
      </c>
      <c r="E117" s="52">
        <f>'Sales Data'!G116</f>
        <v>616</v>
      </c>
      <c r="F117" s="72">
        <f>'Sales Data'!H116</f>
        <v>22</v>
      </c>
      <c r="G117" s="73"/>
      <c r="H117" s="73">
        <f>(InvoiceDetails[[#This Row],[Qty]]*InvoiceDetails[[#This Row],[Unit price]])-InvoiceDetails[[#This Row],[Discount]]</f>
        <v>13552</v>
      </c>
    </row>
    <row r="118" spans="2:8" ht="34.049999999999997" customHeight="1" x14ac:dyDescent="0.3">
      <c r="B118" s="51" t="str">
        <f>'Sales Data'!C117</f>
        <v>INV-2304-115</v>
      </c>
      <c r="C118" s="31"/>
      <c r="D118" s="16" t="str">
        <f>'Sales Data'!E117</f>
        <v>PC-IND-IU84Q-90</v>
      </c>
      <c r="E118" s="52">
        <f>'Sales Data'!G117</f>
        <v>812</v>
      </c>
      <c r="F118" s="72">
        <f>'Sales Data'!H117</f>
        <v>27</v>
      </c>
      <c r="G118" s="73"/>
      <c r="H118" s="73">
        <f>(InvoiceDetails[[#This Row],[Qty]]*InvoiceDetails[[#This Row],[Unit price]])-InvoiceDetails[[#This Row],[Discount]]</f>
        <v>21924</v>
      </c>
    </row>
    <row r="119" spans="2:8" ht="34.049999999999997" customHeight="1" x14ac:dyDescent="0.3">
      <c r="B119" s="51" t="str">
        <f>'Sales Data'!C118</f>
        <v>INV-2304-116</v>
      </c>
      <c r="C119" s="31"/>
      <c r="D119" s="16" t="str">
        <f>'Sales Data'!E118</f>
        <v>ED-IND-RT72V-13</v>
      </c>
      <c r="E119" s="52">
        <f>'Sales Data'!G118</f>
        <v>906</v>
      </c>
      <c r="F119" s="72">
        <f>'Sales Data'!H118</f>
        <v>22</v>
      </c>
      <c r="G119" s="73"/>
      <c r="H119" s="73">
        <f>(InvoiceDetails[[#This Row],[Qty]]*InvoiceDetails[[#This Row],[Unit price]])-InvoiceDetails[[#This Row],[Discount]]</f>
        <v>19932</v>
      </c>
    </row>
    <row r="120" spans="2:8" ht="34.049999999999997" customHeight="1" x14ac:dyDescent="0.3">
      <c r="B120" s="51" t="str">
        <f>'Sales Data'!C119</f>
        <v>INV-2304-117</v>
      </c>
      <c r="C120" s="31"/>
      <c r="D120" s="16" t="str">
        <f>'Sales Data'!E119</f>
        <v>PC-IND-WK47S-81</v>
      </c>
      <c r="E120" s="52">
        <f>'Sales Data'!G119</f>
        <v>645</v>
      </c>
      <c r="F120" s="72">
        <f>'Sales Data'!H119</f>
        <v>28</v>
      </c>
      <c r="G120" s="73"/>
      <c r="H120" s="73">
        <f>(InvoiceDetails[[#This Row],[Qty]]*InvoiceDetails[[#This Row],[Unit price]])-InvoiceDetails[[#This Row],[Discount]]</f>
        <v>18060</v>
      </c>
    </row>
    <row r="121" spans="2:8" ht="34.049999999999997" customHeight="1" x14ac:dyDescent="0.3">
      <c r="B121" s="51" t="str">
        <f>'Sales Data'!C120</f>
        <v>INV-2305-118</v>
      </c>
      <c r="C121" s="31"/>
      <c r="D121" s="16" t="str">
        <f>'Sales Data'!E120</f>
        <v>PC-IND-TW63H-80</v>
      </c>
      <c r="E121" s="52">
        <f>'Sales Data'!G120</f>
        <v>762</v>
      </c>
      <c r="F121" s="72">
        <f>'Sales Data'!H120</f>
        <v>30</v>
      </c>
      <c r="G121" s="73"/>
      <c r="H121" s="73">
        <f>(InvoiceDetails[[#This Row],[Qty]]*InvoiceDetails[[#This Row],[Unit price]])-InvoiceDetails[[#This Row],[Discount]]</f>
        <v>22860</v>
      </c>
    </row>
    <row r="122" spans="2:8" ht="34.049999999999997" customHeight="1" x14ac:dyDescent="0.3">
      <c r="B122" s="51" t="str">
        <f>'Sales Data'!C121</f>
        <v>INV-2305-119</v>
      </c>
      <c r="C122" s="31"/>
      <c r="D122" s="16" t="str">
        <f>'Sales Data'!E121</f>
        <v>ED-IND-BR76A-77</v>
      </c>
      <c r="E122" s="52">
        <f>'Sales Data'!G121</f>
        <v>753</v>
      </c>
      <c r="F122" s="72">
        <f>'Sales Data'!H121</f>
        <v>25</v>
      </c>
      <c r="G122" s="73"/>
      <c r="H122" s="73">
        <f>(InvoiceDetails[[#This Row],[Qty]]*InvoiceDetails[[#This Row],[Unit price]])-InvoiceDetails[[#This Row],[Discount]]</f>
        <v>18825</v>
      </c>
    </row>
    <row r="123" spans="2:8" ht="34.049999999999997" customHeight="1" x14ac:dyDescent="0.3">
      <c r="B123" s="51" t="str">
        <f>'Sales Data'!C122</f>
        <v>INV-2305-120</v>
      </c>
      <c r="C123" s="31"/>
      <c r="D123" s="16" t="str">
        <f>'Sales Data'!E122</f>
        <v>ED-IND-MM78P-45</v>
      </c>
      <c r="E123" s="52">
        <f>'Sales Data'!G122</f>
        <v>585</v>
      </c>
      <c r="F123" s="72">
        <f>'Sales Data'!H122</f>
        <v>24</v>
      </c>
      <c r="G123" s="73"/>
      <c r="H123" s="73">
        <f>(InvoiceDetails[[#This Row],[Qty]]*InvoiceDetails[[#This Row],[Unit price]])-InvoiceDetails[[#This Row],[Discount]]</f>
        <v>14040</v>
      </c>
    </row>
    <row r="124" spans="2:8" ht="34.049999999999997" customHeight="1" x14ac:dyDescent="0.3">
      <c r="B124" s="51" t="str">
        <f>'Sales Data'!C123</f>
        <v>INV-2305-121</v>
      </c>
      <c r="C124" s="31"/>
      <c r="D124" s="16" t="str">
        <f>'Sales Data'!E123</f>
        <v>PC-IND-DG52B-54</v>
      </c>
      <c r="E124" s="52">
        <f>'Sales Data'!G123</f>
        <v>589</v>
      </c>
      <c r="F124" s="72">
        <f>'Sales Data'!H123</f>
        <v>23</v>
      </c>
      <c r="G124" s="73"/>
      <c r="H124" s="73">
        <f>(InvoiceDetails[[#This Row],[Qty]]*InvoiceDetails[[#This Row],[Unit price]])-InvoiceDetails[[#This Row],[Discount]]</f>
        <v>13547</v>
      </c>
    </row>
    <row r="125" spans="2:8" ht="34.049999999999997" customHeight="1" x14ac:dyDescent="0.3">
      <c r="B125" s="51" t="str">
        <f>'Sales Data'!C124</f>
        <v>INV-2305-122</v>
      </c>
      <c r="C125" s="31"/>
      <c r="D125" s="16" t="str">
        <f>'Sales Data'!E124</f>
        <v>PC-IND-MV76M-83</v>
      </c>
      <c r="E125" s="52">
        <f>'Sales Data'!G124</f>
        <v>808</v>
      </c>
      <c r="F125" s="72">
        <f>'Sales Data'!H124</f>
        <v>25</v>
      </c>
      <c r="G125" s="73"/>
      <c r="H125" s="73">
        <f>(InvoiceDetails[[#This Row],[Qty]]*InvoiceDetails[[#This Row],[Unit price]])-InvoiceDetails[[#This Row],[Discount]]</f>
        <v>20200</v>
      </c>
    </row>
    <row r="126" spans="2:8" ht="34.049999999999997" customHeight="1" x14ac:dyDescent="0.3">
      <c r="B126" s="51" t="str">
        <f>'Sales Data'!C125</f>
        <v>INV-2305-123</v>
      </c>
      <c r="C126" s="31"/>
      <c r="D126" s="16" t="str">
        <f>'Sales Data'!E125</f>
        <v>ED-IND-FP44R-79</v>
      </c>
      <c r="E126" s="52">
        <f>'Sales Data'!G125</f>
        <v>937</v>
      </c>
      <c r="F126" s="72">
        <f>'Sales Data'!H125</f>
        <v>24</v>
      </c>
      <c r="G126" s="73"/>
      <c r="H126" s="73">
        <f>(InvoiceDetails[[#This Row],[Qty]]*InvoiceDetails[[#This Row],[Unit price]])-InvoiceDetails[[#This Row],[Discount]]</f>
        <v>22488</v>
      </c>
    </row>
    <row r="127" spans="2:8" ht="34.049999999999997" customHeight="1" x14ac:dyDescent="0.3">
      <c r="B127" s="51" t="str">
        <f>'Sales Data'!C126</f>
        <v>INV-2305-124</v>
      </c>
      <c r="C127" s="31"/>
      <c r="D127" s="16" t="str">
        <f>'Sales Data'!E126</f>
        <v>PC-IND-DM64N-37</v>
      </c>
      <c r="E127" s="52">
        <f>'Sales Data'!G126</f>
        <v>778</v>
      </c>
      <c r="F127" s="72">
        <f>'Sales Data'!H126</f>
        <v>28</v>
      </c>
      <c r="G127" s="73"/>
      <c r="H127" s="73">
        <f>(InvoiceDetails[[#This Row],[Qty]]*InvoiceDetails[[#This Row],[Unit price]])-InvoiceDetails[[#This Row],[Discount]]</f>
        <v>21784</v>
      </c>
    </row>
    <row r="128" spans="2:8" ht="34.049999999999997" customHeight="1" x14ac:dyDescent="0.3">
      <c r="B128" s="51" t="str">
        <f>'Sales Data'!C127</f>
        <v>INV-2305-125</v>
      </c>
      <c r="C128" s="31"/>
      <c r="D128" s="16" t="str">
        <f>'Sales Data'!E127</f>
        <v>ED-IND-XR61C-74</v>
      </c>
      <c r="E128" s="52">
        <f>'Sales Data'!G127</f>
        <v>779</v>
      </c>
      <c r="F128" s="72">
        <f>'Sales Data'!H127</f>
        <v>29</v>
      </c>
      <c r="G128" s="73"/>
      <c r="H128" s="73">
        <f>(InvoiceDetails[[#This Row],[Qty]]*InvoiceDetails[[#This Row],[Unit price]])-InvoiceDetails[[#This Row],[Discount]]</f>
        <v>22591</v>
      </c>
    </row>
    <row r="129" spans="2:8" ht="34.049999999999997" customHeight="1" x14ac:dyDescent="0.3">
      <c r="B129" s="51" t="str">
        <f>'Sales Data'!C128</f>
        <v>INV-2305-126</v>
      </c>
      <c r="C129" s="31"/>
      <c r="D129" s="16" t="str">
        <f>'Sales Data'!E128</f>
        <v>ED-IND-CB30K-49</v>
      </c>
      <c r="E129" s="52">
        <f>'Sales Data'!G128</f>
        <v>644</v>
      </c>
      <c r="F129" s="72">
        <f>'Sales Data'!H128</f>
        <v>22</v>
      </c>
      <c r="G129" s="73"/>
      <c r="H129" s="73">
        <f>(InvoiceDetails[[#This Row],[Qty]]*InvoiceDetails[[#This Row],[Unit price]])-InvoiceDetails[[#This Row],[Discount]]</f>
        <v>14168</v>
      </c>
    </row>
    <row r="130" spans="2:8" ht="34.049999999999997" customHeight="1" x14ac:dyDescent="0.3">
      <c r="B130" s="51" t="str">
        <f>'Sales Data'!C129</f>
        <v>INV-2305-127</v>
      </c>
      <c r="C130" s="31"/>
      <c r="D130" s="16" t="str">
        <f>'Sales Data'!E129</f>
        <v>PC-IND-EO77C-98</v>
      </c>
      <c r="E130" s="52">
        <f>'Sales Data'!G129</f>
        <v>944</v>
      </c>
      <c r="F130" s="72">
        <f>'Sales Data'!H129</f>
        <v>23</v>
      </c>
      <c r="G130" s="73"/>
      <c r="H130" s="73">
        <f>(InvoiceDetails[[#This Row],[Qty]]*InvoiceDetails[[#This Row],[Unit price]])-InvoiceDetails[[#This Row],[Discount]]</f>
        <v>21712</v>
      </c>
    </row>
    <row r="131" spans="2:8" ht="34.049999999999997" customHeight="1" x14ac:dyDescent="0.3">
      <c r="B131" s="51" t="str">
        <f>'Sales Data'!C130</f>
        <v>INV-2305-128</v>
      </c>
      <c r="C131" s="31"/>
      <c r="D131" s="16" t="str">
        <f>'Sales Data'!E130</f>
        <v>ED-IND-VV87X-21</v>
      </c>
      <c r="E131" s="52">
        <f>'Sales Data'!G130</f>
        <v>969</v>
      </c>
      <c r="F131" s="72">
        <f>'Sales Data'!H130</f>
        <v>28</v>
      </c>
      <c r="G131" s="73"/>
      <c r="H131" s="73">
        <f>(InvoiceDetails[[#This Row],[Qty]]*InvoiceDetails[[#This Row],[Unit price]])-InvoiceDetails[[#This Row],[Discount]]</f>
        <v>27132</v>
      </c>
    </row>
    <row r="132" spans="2:8" ht="34.049999999999997" customHeight="1" x14ac:dyDescent="0.3">
      <c r="B132" s="51" t="str">
        <f>'Sales Data'!C131</f>
        <v>INV-2305-129</v>
      </c>
      <c r="C132" s="31"/>
      <c r="D132" s="16" t="str">
        <f>'Sales Data'!E131</f>
        <v>PC-IND-GW27A-65</v>
      </c>
      <c r="E132" s="52">
        <f>'Sales Data'!G131</f>
        <v>595</v>
      </c>
      <c r="F132" s="72">
        <f>'Sales Data'!H131</f>
        <v>24</v>
      </c>
      <c r="G132" s="73"/>
      <c r="H132" s="73">
        <f>(InvoiceDetails[[#This Row],[Qty]]*InvoiceDetails[[#This Row],[Unit price]])-InvoiceDetails[[#This Row],[Discount]]</f>
        <v>14280</v>
      </c>
    </row>
    <row r="133" spans="2:8" ht="34.049999999999997" customHeight="1" x14ac:dyDescent="0.3">
      <c r="B133" s="51" t="str">
        <f>'Sales Data'!C132</f>
        <v>INV-2305-130</v>
      </c>
      <c r="C133" s="31"/>
      <c r="D133" s="16" t="str">
        <f>'Sales Data'!E132</f>
        <v>ED-IND-XN87L-73</v>
      </c>
      <c r="E133" s="52">
        <f>'Sales Data'!G132</f>
        <v>636</v>
      </c>
      <c r="F133" s="72">
        <f>'Sales Data'!H132</f>
        <v>23</v>
      </c>
      <c r="G133" s="73"/>
      <c r="H133" s="73">
        <f>(InvoiceDetails[[#This Row],[Qty]]*InvoiceDetails[[#This Row],[Unit price]])-InvoiceDetails[[#This Row],[Discount]]</f>
        <v>14628</v>
      </c>
    </row>
    <row r="134" spans="2:8" ht="34.049999999999997" customHeight="1" x14ac:dyDescent="0.3">
      <c r="B134" s="51" t="str">
        <f>'Sales Data'!C133</f>
        <v>INV-2305-131</v>
      </c>
      <c r="C134" s="31"/>
      <c r="D134" s="16" t="str">
        <f>'Sales Data'!E133</f>
        <v>ED-IND-FB17Y-80</v>
      </c>
      <c r="E134" s="52">
        <f>'Sales Data'!G133</f>
        <v>696</v>
      </c>
      <c r="F134" s="72">
        <f>'Sales Data'!H133</f>
        <v>31</v>
      </c>
      <c r="G134" s="73"/>
      <c r="H134" s="73">
        <f>(InvoiceDetails[[#This Row],[Qty]]*InvoiceDetails[[#This Row],[Unit price]])-InvoiceDetails[[#This Row],[Discount]]</f>
        <v>21576</v>
      </c>
    </row>
    <row r="135" spans="2:8" ht="34.049999999999997" customHeight="1" x14ac:dyDescent="0.3">
      <c r="B135" s="51" t="str">
        <f>'Sales Data'!C134</f>
        <v>INV-2305-132</v>
      </c>
      <c r="C135" s="31"/>
      <c r="D135" s="16" t="str">
        <f>'Sales Data'!E134</f>
        <v>ED-IND-OZ92E-17</v>
      </c>
      <c r="E135" s="52">
        <f>'Sales Data'!G134</f>
        <v>800</v>
      </c>
      <c r="F135" s="72">
        <f>'Sales Data'!H134</f>
        <v>27</v>
      </c>
      <c r="G135" s="73"/>
      <c r="H135" s="73">
        <f>(InvoiceDetails[[#This Row],[Qty]]*InvoiceDetails[[#This Row],[Unit price]])-InvoiceDetails[[#This Row],[Discount]]</f>
        <v>21600</v>
      </c>
    </row>
    <row r="136" spans="2:8" ht="34.049999999999997" customHeight="1" x14ac:dyDescent="0.3">
      <c r="B136" s="51" t="str">
        <f>'Sales Data'!C135</f>
        <v>INV-2305-133</v>
      </c>
      <c r="C136" s="31"/>
      <c r="D136" s="16" t="str">
        <f>'Sales Data'!E135</f>
        <v>PC-IND-AR30L-03</v>
      </c>
      <c r="E136" s="52">
        <f>'Sales Data'!G135</f>
        <v>525</v>
      </c>
      <c r="F136" s="72">
        <f>'Sales Data'!H135</f>
        <v>25</v>
      </c>
      <c r="G136" s="73"/>
      <c r="H136" s="73">
        <f>(InvoiceDetails[[#This Row],[Qty]]*InvoiceDetails[[#This Row],[Unit price]])-InvoiceDetails[[#This Row],[Discount]]</f>
        <v>13125</v>
      </c>
    </row>
    <row r="137" spans="2:8" ht="34.049999999999997" customHeight="1" x14ac:dyDescent="0.3">
      <c r="B137" s="51" t="str">
        <f>'Sales Data'!C136</f>
        <v>INV-2305-134</v>
      </c>
      <c r="C137" s="31"/>
      <c r="D137" s="16" t="str">
        <f>'Sales Data'!E136</f>
        <v>ED-IND-DY20U-42</v>
      </c>
      <c r="E137" s="52">
        <f>'Sales Data'!G136</f>
        <v>996</v>
      </c>
      <c r="F137" s="72">
        <f>'Sales Data'!H136</f>
        <v>27</v>
      </c>
      <c r="G137" s="73"/>
      <c r="H137" s="73">
        <f>(InvoiceDetails[[#This Row],[Qty]]*InvoiceDetails[[#This Row],[Unit price]])-InvoiceDetails[[#This Row],[Discount]]</f>
        <v>26892</v>
      </c>
    </row>
    <row r="138" spans="2:8" ht="34.049999999999997" customHeight="1" x14ac:dyDescent="0.3">
      <c r="B138" s="51" t="str">
        <f>'Sales Data'!C137</f>
        <v>INV-2305-135</v>
      </c>
      <c r="C138" s="31"/>
      <c r="D138" s="16" t="str">
        <f>'Sales Data'!E137</f>
        <v>ED-IND-ZU27L-78</v>
      </c>
      <c r="E138" s="52">
        <f>'Sales Data'!G137</f>
        <v>868</v>
      </c>
      <c r="F138" s="72">
        <f>'Sales Data'!H137</f>
        <v>31</v>
      </c>
      <c r="G138" s="73"/>
      <c r="H138" s="73">
        <f>(InvoiceDetails[[#This Row],[Qty]]*InvoiceDetails[[#This Row],[Unit price]])-InvoiceDetails[[#This Row],[Discount]]</f>
        <v>26908</v>
      </c>
    </row>
    <row r="139" spans="2:8" ht="34.049999999999997" customHeight="1" x14ac:dyDescent="0.3">
      <c r="B139" s="51" t="str">
        <f>'Sales Data'!C138</f>
        <v>INV-2305-136</v>
      </c>
      <c r="C139" s="31"/>
      <c r="D139" s="16" t="str">
        <f>'Sales Data'!E138</f>
        <v>PC-IND-AA95K-32</v>
      </c>
      <c r="E139" s="52">
        <f>'Sales Data'!G138</f>
        <v>553</v>
      </c>
      <c r="F139" s="72">
        <f>'Sales Data'!H138</f>
        <v>21</v>
      </c>
      <c r="G139" s="73"/>
      <c r="H139" s="73">
        <f>(InvoiceDetails[[#This Row],[Qty]]*InvoiceDetails[[#This Row],[Unit price]])-InvoiceDetails[[#This Row],[Discount]]</f>
        <v>11613</v>
      </c>
    </row>
    <row r="140" spans="2:8" ht="34.049999999999997" customHeight="1" x14ac:dyDescent="0.3">
      <c r="B140" s="51" t="str">
        <f>'Sales Data'!C139</f>
        <v>INV-2305-137</v>
      </c>
      <c r="C140" s="31"/>
      <c r="D140" s="16" t="str">
        <f>'Sales Data'!E139</f>
        <v>PC-IND-YU86O-53</v>
      </c>
      <c r="E140" s="52">
        <f>'Sales Data'!G139</f>
        <v>945</v>
      </c>
      <c r="F140" s="72">
        <f>'Sales Data'!H139</f>
        <v>26</v>
      </c>
      <c r="G140" s="73"/>
      <c r="H140" s="73">
        <f>(InvoiceDetails[[#This Row],[Qty]]*InvoiceDetails[[#This Row],[Unit price]])-InvoiceDetails[[#This Row],[Discount]]</f>
        <v>24570</v>
      </c>
    </row>
    <row r="141" spans="2:8" ht="34.049999999999997" customHeight="1" x14ac:dyDescent="0.3">
      <c r="B141" s="51" t="str">
        <f>'Sales Data'!C140</f>
        <v>INV-2305-138</v>
      </c>
      <c r="C141" s="31"/>
      <c r="D141" s="16" t="str">
        <f>'Sales Data'!E140</f>
        <v>ED-IND-ID18M-77</v>
      </c>
      <c r="E141" s="52">
        <f>'Sales Data'!G140</f>
        <v>968</v>
      </c>
      <c r="F141" s="72">
        <f>'Sales Data'!H140</f>
        <v>27</v>
      </c>
      <c r="G141" s="73"/>
      <c r="H141" s="73">
        <f>(InvoiceDetails[[#This Row],[Qty]]*InvoiceDetails[[#This Row],[Unit price]])-InvoiceDetails[[#This Row],[Discount]]</f>
        <v>26136</v>
      </c>
    </row>
    <row r="142" spans="2:8" ht="34.049999999999997" customHeight="1" x14ac:dyDescent="0.3">
      <c r="B142" s="51" t="str">
        <f>'Sales Data'!C141</f>
        <v>INV-2305-139</v>
      </c>
      <c r="C142" s="31"/>
      <c r="D142" s="16" t="str">
        <f>'Sales Data'!E141</f>
        <v>PC-IND-VU50J-77</v>
      </c>
      <c r="E142" s="52">
        <f>'Sales Data'!G141</f>
        <v>500</v>
      </c>
      <c r="F142" s="72">
        <f>'Sales Data'!H141</f>
        <v>22</v>
      </c>
      <c r="G142" s="73"/>
      <c r="H142" s="73">
        <f>(InvoiceDetails[[#This Row],[Qty]]*InvoiceDetails[[#This Row],[Unit price]])-InvoiceDetails[[#This Row],[Discount]]</f>
        <v>11000</v>
      </c>
    </row>
    <row r="143" spans="2:8" ht="34.049999999999997" customHeight="1" x14ac:dyDescent="0.3">
      <c r="B143" s="51" t="str">
        <f>'Sales Data'!C142</f>
        <v>INV-2305-140</v>
      </c>
      <c r="C143" s="31"/>
      <c r="D143" s="16" t="str">
        <f>'Sales Data'!E142</f>
        <v>PC-IND-VX87Y-93</v>
      </c>
      <c r="E143" s="52">
        <f>'Sales Data'!G142</f>
        <v>950</v>
      </c>
      <c r="F143" s="72">
        <f>'Sales Data'!H142</f>
        <v>27</v>
      </c>
      <c r="G143" s="73"/>
      <c r="H143" s="73">
        <f>(InvoiceDetails[[#This Row],[Qty]]*InvoiceDetails[[#This Row],[Unit price]])-InvoiceDetails[[#This Row],[Discount]]</f>
        <v>25650</v>
      </c>
    </row>
    <row r="144" spans="2:8" ht="34.049999999999997" customHeight="1" x14ac:dyDescent="0.3">
      <c r="B144" s="51" t="str">
        <f>'Sales Data'!C143</f>
        <v>INV-2305-141</v>
      </c>
      <c r="C144" s="31"/>
      <c r="D144" s="16" t="str">
        <f>'Sales Data'!E143</f>
        <v>ED-IND-DJ47L-80</v>
      </c>
      <c r="E144" s="52">
        <f>'Sales Data'!G143</f>
        <v>651</v>
      </c>
      <c r="F144" s="72">
        <f>'Sales Data'!H143</f>
        <v>27</v>
      </c>
      <c r="G144" s="73"/>
      <c r="H144" s="73">
        <f>(InvoiceDetails[[#This Row],[Qty]]*InvoiceDetails[[#This Row],[Unit price]])-InvoiceDetails[[#This Row],[Discount]]</f>
        <v>17577</v>
      </c>
    </row>
    <row r="145" spans="2:8" ht="34.049999999999997" customHeight="1" x14ac:dyDescent="0.3">
      <c r="B145" s="51" t="str">
        <f>'Sales Data'!C144</f>
        <v>INV-2305-142</v>
      </c>
      <c r="C145" s="31"/>
      <c r="D145" s="16" t="str">
        <f>'Sales Data'!E144</f>
        <v>ED-IND-XP42E-43</v>
      </c>
      <c r="E145" s="52">
        <f>'Sales Data'!G144</f>
        <v>541</v>
      </c>
      <c r="F145" s="72">
        <f>'Sales Data'!H144</f>
        <v>23</v>
      </c>
      <c r="G145" s="73"/>
      <c r="H145" s="73">
        <f>(InvoiceDetails[[#This Row],[Qty]]*InvoiceDetails[[#This Row],[Unit price]])-InvoiceDetails[[#This Row],[Discount]]</f>
        <v>12443</v>
      </c>
    </row>
    <row r="146" spans="2:8" ht="34.049999999999997" customHeight="1" x14ac:dyDescent="0.3">
      <c r="B146" s="51" t="str">
        <f>'Sales Data'!C145</f>
        <v>INV-2305-143</v>
      </c>
      <c r="C146" s="31"/>
      <c r="D146" s="16" t="str">
        <f>'Sales Data'!E145</f>
        <v>PC-IND-IU42B-45</v>
      </c>
      <c r="E146" s="52">
        <f>'Sales Data'!G145</f>
        <v>897</v>
      </c>
      <c r="F146" s="72">
        <f>'Sales Data'!H145</f>
        <v>21</v>
      </c>
      <c r="G146" s="73"/>
      <c r="H146" s="73">
        <f>(InvoiceDetails[[#This Row],[Qty]]*InvoiceDetails[[#This Row],[Unit price]])-InvoiceDetails[[#This Row],[Discount]]</f>
        <v>18837</v>
      </c>
    </row>
    <row r="147" spans="2:8" ht="34.049999999999997" customHeight="1" x14ac:dyDescent="0.3">
      <c r="B147" s="51" t="str">
        <f>'Sales Data'!C146</f>
        <v>INV-2305-144</v>
      </c>
      <c r="C147" s="31"/>
      <c r="D147" s="16" t="str">
        <f>'Sales Data'!E146</f>
        <v>ED-IND-ZQ39I-19</v>
      </c>
      <c r="E147" s="52">
        <f>'Sales Data'!G146</f>
        <v>638</v>
      </c>
      <c r="F147" s="72">
        <f>'Sales Data'!H146</f>
        <v>22</v>
      </c>
      <c r="G147" s="73"/>
      <c r="H147" s="73">
        <f>(InvoiceDetails[[#This Row],[Qty]]*InvoiceDetails[[#This Row],[Unit price]])-InvoiceDetails[[#This Row],[Discount]]</f>
        <v>14036</v>
      </c>
    </row>
    <row r="148" spans="2:8" ht="34.049999999999997" customHeight="1" x14ac:dyDescent="0.3">
      <c r="B148" s="51" t="str">
        <f>'Sales Data'!C147</f>
        <v>INV-2305-145</v>
      </c>
      <c r="C148" s="31"/>
      <c r="D148" s="16" t="str">
        <f>'Sales Data'!E147</f>
        <v>ED-IND-BB24J-39</v>
      </c>
      <c r="E148" s="52">
        <f>'Sales Data'!G147</f>
        <v>502</v>
      </c>
      <c r="F148" s="72">
        <f>'Sales Data'!H147</f>
        <v>28</v>
      </c>
      <c r="G148" s="73"/>
      <c r="H148" s="73">
        <f>(InvoiceDetails[[#This Row],[Qty]]*InvoiceDetails[[#This Row],[Unit price]])-InvoiceDetails[[#This Row],[Discount]]</f>
        <v>14056</v>
      </c>
    </row>
    <row r="149" spans="2:8" ht="34.049999999999997" customHeight="1" x14ac:dyDescent="0.3">
      <c r="B149" s="51" t="str">
        <f>'Sales Data'!C148</f>
        <v>INV-2305-146</v>
      </c>
      <c r="C149" s="31"/>
      <c r="D149" s="16" t="str">
        <f>'Sales Data'!E148</f>
        <v>PC-IND-JF71I-05</v>
      </c>
      <c r="E149" s="52">
        <f>'Sales Data'!G148</f>
        <v>920</v>
      </c>
      <c r="F149" s="72">
        <f>'Sales Data'!H148</f>
        <v>24</v>
      </c>
      <c r="G149" s="73"/>
      <c r="H149" s="73">
        <f>(InvoiceDetails[[#This Row],[Qty]]*InvoiceDetails[[#This Row],[Unit price]])-InvoiceDetails[[#This Row],[Discount]]</f>
        <v>22080</v>
      </c>
    </row>
    <row r="150" spans="2:8" ht="34.049999999999997" customHeight="1" x14ac:dyDescent="0.3">
      <c r="B150" s="51" t="str">
        <f>'Sales Data'!C149</f>
        <v>INV-2305-147</v>
      </c>
      <c r="C150" s="31"/>
      <c r="D150" s="16" t="str">
        <f>'Sales Data'!E149</f>
        <v>ED-IND-ZB28A-23</v>
      </c>
      <c r="E150" s="52">
        <f>'Sales Data'!G149</f>
        <v>581</v>
      </c>
      <c r="F150" s="72">
        <f>'Sales Data'!H149</f>
        <v>29</v>
      </c>
      <c r="G150" s="73"/>
      <c r="H150" s="73">
        <f>(InvoiceDetails[[#This Row],[Qty]]*InvoiceDetails[[#This Row],[Unit price]])-InvoiceDetails[[#This Row],[Discount]]</f>
        <v>16849</v>
      </c>
    </row>
    <row r="151" spans="2:8" ht="34.049999999999997" customHeight="1" x14ac:dyDescent="0.3">
      <c r="B151" s="51" t="str">
        <f>'Sales Data'!C150</f>
        <v>INV-2305-148</v>
      </c>
      <c r="C151" s="31"/>
      <c r="D151" s="16" t="str">
        <f>'Sales Data'!E150</f>
        <v>ED-IND-FD60O-17</v>
      </c>
      <c r="E151" s="52">
        <f>'Sales Data'!G150</f>
        <v>623</v>
      </c>
      <c r="F151" s="72">
        <f>'Sales Data'!H150</f>
        <v>29</v>
      </c>
      <c r="G151" s="73"/>
      <c r="H151" s="73">
        <f>(InvoiceDetails[[#This Row],[Qty]]*InvoiceDetails[[#This Row],[Unit price]])-InvoiceDetails[[#This Row],[Discount]]</f>
        <v>18067</v>
      </c>
    </row>
    <row r="152" spans="2:8" ht="34.049999999999997" customHeight="1" x14ac:dyDescent="0.3">
      <c r="B152" s="51" t="str">
        <f>'Sales Data'!C151</f>
        <v>INV-2306-149</v>
      </c>
      <c r="C152" s="31"/>
      <c r="D152" s="16" t="str">
        <f>'Sales Data'!E151</f>
        <v>ED-IND-JP69R-33</v>
      </c>
      <c r="E152" s="52">
        <f>'Sales Data'!G151</f>
        <v>769</v>
      </c>
      <c r="F152" s="72">
        <f>'Sales Data'!H151</f>
        <v>25</v>
      </c>
      <c r="G152" s="73"/>
      <c r="H152" s="73">
        <f>(InvoiceDetails[[#This Row],[Qty]]*InvoiceDetails[[#This Row],[Unit price]])-InvoiceDetails[[#This Row],[Discount]]</f>
        <v>19225</v>
      </c>
    </row>
    <row r="153" spans="2:8" ht="34.049999999999997" customHeight="1" x14ac:dyDescent="0.3">
      <c r="B153" s="51" t="str">
        <f>'Sales Data'!C152</f>
        <v>INV-2306-150</v>
      </c>
      <c r="C153" s="31"/>
      <c r="D153" s="16" t="str">
        <f>'Sales Data'!E152</f>
        <v>PC-IND-JW93B-08</v>
      </c>
      <c r="E153" s="52">
        <f>'Sales Data'!G152</f>
        <v>793</v>
      </c>
      <c r="F153" s="72">
        <f>'Sales Data'!H152</f>
        <v>25</v>
      </c>
      <c r="G153" s="73"/>
      <c r="H153" s="73">
        <f>(InvoiceDetails[[#This Row],[Qty]]*InvoiceDetails[[#This Row],[Unit price]])-InvoiceDetails[[#This Row],[Discount]]</f>
        <v>19825</v>
      </c>
    </row>
    <row r="154" spans="2:8" ht="34.049999999999997" customHeight="1" x14ac:dyDescent="0.3">
      <c r="B154" s="51" t="str">
        <f>'Sales Data'!C153</f>
        <v>INV-2306-151</v>
      </c>
      <c r="C154" s="31"/>
      <c r="D154" s="16" t="str">
        <f>'Sales Data'!E153</f>
        <v>ED-IND-HV15T-18</v>
      </c>
      <c r="E154" s="52">
        <f>'Sales Data'!G153</f>
        <v>922</v>
      </c>
      <c r="F154" s="72">
        <f>'Sales Data'!H153</f>
        <v>27</v>
      </c>
      <c r="G154" s="73"/>
      <c r="H154" s="73">
        <f>(InvoiceDetails[[#This Row],[Qty]]*InvoiceDetails[[#This Row],[Unit price]])-InvoiceDetails[[#This Row],[Discount]]</f>
        <v>24894</v>
      </c>
    </row>
    <row r="155" spans="2:8" ht="34.049999999999997" customHeight="1" x14ac:dyDescent="0.3">
      <c r="B155" s="51" t="str">
        <f>'Sales Data'!C154</f>
        <v>INV-2306-152</v>
      </c>
      <c r="C155" s="31"/>
      <c r="D155" s="16" t="str">
        <f>'Sales Data'!E154</f>
        <v>PC-IND-CX62J-79</v>
      </c>
      <c r="E155" s="52">
        <f>'Sales Data'!G154</f>
        <v>862</v>
      </c>
      <c r="F155" s="72">
        <f>'Sales Data'!H154</f>
        <v>22</v>
      </c>
      <c r="G155" s="73"/>
      <c r="H155" s="73">
        <f>(InvoiceDetails[[#This Row],[Qty]]*InvoiceDetails[[#This Row],[Unit price]])-InvoiceDetails[[#This Row],[Discount]]</f>
        <v>18964</v>
      </c>
    </row>
    <row r="156" spans="2:8" ht="34.049999999999997" customHeight="1" x14ac:dyDescent="0.3">
      <c r="B156" s="51" t="str">
        <f>'Sales Data'!C155</f>
        <v>INV-2306-153</v>
      </c>
      <c r="C156" s="31"/>
      <c r="D156" s="16" t="str">
        <f>'Sales Data'!E155</f>
        <v>PC-IND-RL65M-40</v>
      </c>
      <c r="E156" s="52">
        <f>'Sales Data'!G155</f>
        <v>568</v>
      </c>
      <c r="F156" s="72">
        <f>'Sales Data'!H155</f>
        <v>30</v>
      </c>
      <c r="G156" s="73"/>
      <c r="H156" s="73">
        <f>(InvoiceDetails[[#This Row],[Qty]]*InvoiceDetails[[#This Row],[Unit price]])-InvoiceDetails[[#This Row],[Discount]]</f>
        <v>17040</v>
      </c>
    </row>
    <row r="157" spans="2:8" ht="34.049999999999997" customHeight="1" x14ac:dyDescent="0.3">
      <c r="B157" s="51" t="str">
        <f>'Sales Data'!C156</f>
        <v>INV-2306-154</v>
      </c>
      <c r="C157" s="31"/>
      <c r="D157" s="16" t="str">
        <f>'Sales Data'!E156</f>
        <v>ED-IND-HW16X-13</v>
      </c>
      <c r="E157" s="52">
        <f>'Sales Data'!G156</f>
        <v>692</v>
      </c>
      <c r="F157" s="72">
        <f>'Sales Data'!H156</f>
        <v>25</v>
      </c>
      <c r="G157" s="73"/>
      <c r="H157" s="73">
        <f>(InvoiceDetails[[#This Row],[Qty]]*InvoiceDetails[[#This Row],[Unit price]])-InvoiceDetails[[#This Row],[Discount]]</f>
        <v>17300</v>
      </c>
    </row>
    <row r="158" spans="2:8" ht="34.049999999999997" customHeight="1" x14ac:dyDescent="0.3">
      <c r="B158" s="51" t="str">
        <f>'Sales Data'!C157</f>
        <v>INV-2306-155</v>
      </c>
      <c r="C158" s="31"/>
      <c r="D158" s="16" t="str">
        <f>'Sales Data'!E157</f>
        <v>ED-IND-HH29Q-75</v>
      </c>
      <c r="E158" s="52">
        <f>'Sales Data'!G157</f>
        <v>537</v>
      </c>
      <c r="F158" s="72">
        <f>'Sales Data'!H157</f>
        <v>27</v>
      </c>
      <c r="G158" s="73"/>
      <c r="H158" s="73">
        <f>(InvoiceDetails[[#This Row],[Qty]]*InvoiceDetails[[#This Row],[Unit price]])-InvoiceDetails[[#This Row],[Discount]]</f>
        <v>14499</v>
      </c>
    </row>
    <row r="159" spans="2:8" ht="34.049999999999997" customHeight="1" x14ac:dyDescent="0.3">
      <c r="B159" s="51" t="str">
        <f>'Sales Data'!C158</f>
        <v>INV-2306-156</v>
      </c>
      <c r="C159" s="31"/>
      <c r="D159" s="16" t="str">
        <f>'Sales Data'!E158</f>
        <v>PC-IND-QE88W-96</v>
      </c>
      <c r="E159" s="52">
        <f>'Sales Data'!G158</f>
        <v>950</v>
      </c>
      <c r="F159" s="72">
        <f>'Sales Data'!H158</f>
        <v>31</v>
      </c>
      <c r="G159" s="73"/>
      <c r="H159" s="73">
        <f>(InvoiceDetails[[#This Row],[Qty]]*InvoiceDetails[[#This Row],[Unit price]])-InvoiceDetails[[#This Row],[Discount]]</f>
        <v>29450</v>
      </c>
    </row>
    <row r="160" spans="2:8" ht="34.049999999999997" customHeight="1" x14ac:dyDescent="0.3">
      <c r="B160" s="51" t="str">
        <f>'Sales Data'!C159</f>
        <v>INV-2306-157</v>
      </c>
      <c r="C160" s="31"/>
      <c r="D160" s="16" t="str">
        <f>'Sales Data'!E159</f>
        <v>PC-IND-RX73P-03</v>
      </c>
      <c r="E160" s="52">
        <f>'Sales Data'!G159</f>
        <v>932</v>
      </c>
      <c r="F160" s="72">
        <f>'Sales Data'!H159</f>
        <v>26</v>
      </c>
      <c r="G160" s="73"/>
      <c r="H160" s="73">
        <f>(InvoiceDetails[[#This Row],[Qty]]*InvoiceDetails[[#This Row],[Unit price]])-InvoiceDetails[[#This Row],[Discount]]</f>
        <v>24232</v>
      </c>
    </row>
    <row r="161" spans="2:8" ht="34.049999999999997" customHeight="1" x14ac:dyDescent="0.3">
      <c r="B161" s="51" t="str">
        <f>'Sales Data'!C160</f>
        <v>INV-2306-158</v>
      </c>
      <c r="C161" s="31"/>
      <c r="D161" s="16" t="str">
        <f>'Sales Data'!E160</f>
        <v>ED-IND-MB39T-59</v>
      </c>
      <c r="E161" s="52">
        <f>'Sales Data'!G160</f>
        <v>736</v>
      </c>
      <c r="F161" s="72">
        <f>'Sales Data'!H160</f>
        <v>22</v>
      </c>
      <c r="G161" s="73"/>
      <c r="H161" s="73">
        <f>(InvoiceDetails[[#This Row],[Qty]]*InvoiceDetails[[#This Row],[Unit price]])-InvoiceDetails[[#This Row],[Discount]]</f>
        <v>16192</v>
      </c>
    </row>
    <row r="162" spans="2:8" ht="34.049999999999997" customHeight="1" x14ac:dyDescent="0.3">
      <c r="B162" s="51" t="str">
        <f>'Sales Data'!C161</f>
        <v>INV-2306-159</v>
      </c>
      <c r="C162" s="31"/>
      <c r="D162" s="16" t="str">
        <f>'Sales Data'!E161</f>
        <v>ED-IND-BW38U-47</v>
      </c>
      <c r="E162" s="52">
        <f>'Sales Data'!G161</f>
        <v>570</v>
      </c>
      <c r="F162" s="72">
        <f>'Sales Data'!H161</f>
        <v>31</v>
      </c>
      <c r="G162" s="73"/>
      <c r="H162" s="73">
        <f>(InvoiceDetails[[#This Row],[Qty]]*InvoiceDetails[[#This Row],[Unit price]])-InvoiceDetails[[#This Row],[Discount]]</f>
        <v>17670</v>
      </c>
    </row>
    <row r="163" spans="2:8" ht="34.049999999999997" customHeight="1" x14ac:dyDescent="0.3">
      <c r="B163" s="51" t="str">
        <f>'Sales Data'!C162</f>
        <v>INV-2306-160</v>
      </c>
      <c r="C163" s="31"/>
      <c r="D163" s="16" t="str">
        <f>'Sales Data'!E162</f>
        <v>PC-IND-EO84I-36</v>
      </c>
      <c r="E163" s="52">
        <f>'Sales Data'!G162</f>
        <v>980</v>
      </c>
      <c r="F163" s="72">
        <f>'Sales Data'!H162</f>
        <v>24</v>
      </c>
      <c r="G163" s="73"/>
      <c r="H163" s="73">
        <f>(InvoiceDetails[[#This Row],[Qty]]*InvoiceDetails[[#This Row],[Unit price]])-InvoiceDetails[[#This Row],[Discount]]</f>
        <v>23520</v>
      </c>
    </row>
    <row r="164" spans="2:8" ht="34.049999999999997" customHeight="1" x14ac:dyDescent="0.3">
      <c r="B164" s="51" t="str">
        <f>'Sales Data'!C163</f>
        <v>INV-2306-161</v>
      </c>
      <c r="C164" s="31"/>
      <c r="D164" s="16" t="str">
        <f>'Sales Data'!E163</f>
        <v>ED-IND-WL61O-84</v>
      </c>
      <c r="E164" s="52">
        <f>'Sales Data'!G163</f>
        <v>635</v>
      </c>
      <c r="F164" s="72">
        <f>'Sales Data'!H163</f>
        <v>26</v>
      </c>
      <c r="G164" s="73"/>
      <c r="H164" s="73">
        <f>(InvoiceDetails[[#This Row],[Qty]]*InvoiceDetails[[#This Row],[Unit price]])-InvoiceDetails[[#This Row],[Discount]]</f>
        <v>16510</v>
      </c>
    </row>
    <row r="165" spans="2:8" ht="34.049999999999997" customHeight="1" x14ac:dyDescent="0.3">
      <c r="B165" s="51" t="str">
        <f>'Sales Data'!C164</f>
        <v>INV-2306-162</v>
      </c>
      <c r="C165" s="31"/>
      <c r="D165" s="16" t="str">
        <f>'Sales Data'!E164</f>
        <v>ED-IND-KC36K-52</v>
      </c>
      <c r="E165" s="52">
        <f>'Sales Data'!G164</f>
        <v>819</v>
      </c>
      <c r="F165" s="72">
        <f>'Sales Data'!H164</f>
        <v>31</v>
      </c>
      <c r="G165" s="73"/>
      <c r="H165" s="73">
        <f>(InvoiceDetails[[#This Row],[Qty]]*InvoiceDetails[[#This Row],[Unit price]])-InvoiceDetails[[#This Row],[Discount]]</f>
        <v>25389</v>
      </c>
    </row>
    <row r="166" spans="2:8" ht="34.049999999999997" customHeight="1" x14ac:dyDescent="0.3">
      <c r="B166" s="51" t="str">
        <f>'Sales Data'!C165</f>
        <v>INV-2306-163</v>
      </c>
      <c r="C166" s="31"/>
      <c r="D166" s="16" t="str">
        <f>'Sales Data'!E165</f>
        <v>ED-IND-WW62W-14</v>
      </c>
      <c r="E166" s="52">
        <f>'Sales Data'!G165</f>
        <v>950</v>
      </c>
      <c r="F166" s="72">
        <f>'Sales Data'!H165</f>
        <v>23</v>
      </c>
      <c r="G166" s="73"/>
      <c r="H166" s="73">
        <f>(InvoiceDetails[[#This Row],[Qty]]*InvoiceDetails[[#This Row],[Unit price]])-InvoiceDetails[[#This Row],[Discount]]</f>
        <v>21850</v>
      </c>
    </row>
    <row r="167" spans="2:8" ht="34.049999999999997" customHeight="1" x14ac:dyDescent="0.3">
      <c r="B167" s="51" t="str">
        <f>'Sales Data'!C166</f>
        <v>INV-2306-164</v>
      </c>
      <c r="C167" s="31"/>
      <c r="D167" s="16" t="str">
        <f>'Sales Data'!E166</f>
        <v>ED-IND-QH29J-65</v>
      </c>
      <c r="E167" s="52">
        <f>'Sales Data'!G166</f>
        <v>517</v>
      </c>
      <c r="F167" s="72">
        <f>'Sales Data'!H166</f>
        <v>30</v>
      </c>
      <c r="G167" s="73"/>
      <c r="H167" s="73">
        <f>(InvoiceDetails[[#This Row],[Qty]]*InvoiceDetails[[#This Row],[Unit price]])-InvoiceDetails[[#This Row],[Discount]]</f>
        <v>15510</v>
      </c>
    </row>
    <row r="168" spans="2:8" ht="34.049999999999997" customHeight="1" x14ac:dyDescent="0.3">
      <c r="B168" s="51" t="str">
        <f>'Sales Data'!C167</f>
        <v>INV-2306-165</v>
      </c>
      <c r="C168" s="31"/>
      <c r="D168" s="16" t="str">
        <f>'Sales Data'!E167</f>
        <v>PC-IND-RM93X-65</v>
      </c>
      <c r="E168" s="52">
        <f>'Sales Data'!G167</f>
        <v>696</v>
      </c>
      <c r="F168" s="72">
        <f>'Sales Data'!H167</f>
        <v>27</v>
      </c>
      <c r="G168" s="73"/>
      <c r="H168" s="73">
        <f>(InvoiceDetails[[#This Row],[Qty]]*InvoiceDetails[[#This Row],[Unit price]])-InvoiceDetails[[#This Row],[Discount]]</f>
        <v>18792</v>
      </c>
    </row>
    <row r="169" spans="2:8" ht="34.049999999999997" customHeight="1" x14ac:dyDescent="0.3">
      <c r="B169" s="51" t="str">
        <f>'Sales Data'!C168</f>
        <v>INV-2306-166</v>
      </c>
      <c r="C169" s="31"/>
      <c r="D169" s="16" t="str">
        <f>'Sales Data'!E168</f>
        <v>ED-IND-HM49Y-33</v>
      </c>
      <c r="E169" s="52">
        <f>'Sales Data'!G168</f>
        <v>771</v>
      </c>
      <c r="F169" s="72">
        <f>'Sales Data'!H168</f>
        <v>30</v>
      </c>
      <c r="G169" s="73"/>
      <c r="H169" s="73">
        <f>(InvoiceDetails[[#This Row],[Qty]]*InvoiceDetails[[#This Row],[Unit price]])-InvoiceDetails[[#This Row],[Discount]]</f>
        <v>23130</v>
      </c>
    </row>
    <row r="170" spans="2:8" ht="34.049999999999997" customHeight="1" x14ac:dyDescent="0.3">
      <c r="B170" s="51" t="str">
        <f>'Sales Data'!C169</f>
        <v>INV-2306-167</v>
      </c>
      <c r="C170" s="31"/>
      <c r="D170" s="16" t="str">
        <f>'Sales Data'!E169</f>
        <v>ED-IND-DQ83D-43</v>
      </c>
      <c r="E170" s="52">
        <f>'Sales Data'!G169</f>
        <v>646</v>
      </c>
      <c r="F170" s="72">
        <f>'Sales Data'!H169</f>
        <v>26</v>
      </c>
      <c r="G170" s="73"/>
      <c r="H170" s="73">
        <f>(InvoiceDetails[[#This Row],[Qty]]*InvoiceDetails[[#This Row],[Unit price]])-InvoiceDetails[[#This Row],[Discount]]</f>
        <v>16796</v>
      </c>
    </row>
    <row r="171" spans="2:8" ht="34.049999999999997" customHeight="1" x14ac:dyDescent="0.3">
      <c r="B171" s="51" t="str">
        <f>'Sales Data'!C170</f>
        <v>INV-2306-168</v>
      </c>
      <c r="C171" s="31"/>
      <c r="D171" s="16" t="str">
        <f>'Sales Data'!E170</f>
        <v>ED-IND-XW30O-73</v>
      </c>
      <c r="E171" s="52">
        <f>'Sales Data'!G170</f>
        <v>966</v>
      </c>
      <c r="F171" s="72">
        <f>'Sales Data'!H170</f>
        <v>25</v>
      </c>
      <c r="G171" s="73"/>
      <c r="H171" s="73">
        <f>(InvoiceDetails[[#This Row],[Qty]]*InvoiceDetails[[#This Row],[Unit price]])-InvoiceDetails[[#This Row],[Discount]]</f>
        <v>24150</v>
      </c>
    </row>
    <row r="172" spans="2:8" ht="34.049999999999997" customHeight="1" x14ac:dyDescent="0.3">
      <c r="B172" s="51" t="str">
        <f>'Sales Data'!C171</f>
        <v>INV-2306-169</v>
      </c>
      <c r="C172" s="31"/>
      <c r="D172" s="16" t="str">
        <f>'Sales Data'!E171</f>
        <v>ED-IND-WD72V-49</v>
      </c>
      <c r="E172" s="52">
        <f>'Sales Data'!G171</f>
        <v>955</v>
      </c>
      <c r="F172" s="72">
        <f>'Sales Data'!H171</f>
        <v>26</v>
      </c>
      <c r="G172" s="73"/>
      <c r="H172" s="73">
        <f>(InvoiceDetails[[#This Row],[Qty]]*InvoiceDetails[[#This Row],[Unit price]])-InvoiceDetails[[#This Row],[Discount]]</f>
        <v>24830</v>
      </c>
    </row>
    <row r="173" spans="2:8" ht="34.049999999999997" customHeight="1" x14ac:dyDescent="0.3">
      <c r="B173" s="51" t="str">
        <f>'Sales Data'!C172</f>
        <v>INV-2306-170</v>
      </c>
      <c r="C173" s="31"/>
      <c r="D173" s="16" t="str">
        <f>'Sales Data'!E172</f>
        <v>ED-IND-UQ39G-27</v>
      </c>
      <c r="E173" s="52">
        <f>'Sales Data'!G172</f>
        <v>910</v>
      </c>
      <c r="F173" s="72">
        <f>'Sales Data'!H172</f>
        <v>30</v>
      </c>
      <c r="G173" s="73"/>
      <c r="H173" s="73">
        <f>(InvoiceDetails[[#This Row],[Qty]]*InvoiceDetails[[#This Row],[Unit price]])-InvoiceDetails[[#This Row],[Discount]]</f>
        <v>27300</v>
      </c>
    </row>
    <row r="174" spans="2:8" ht="34.049999999999997" customHeight="1" x14ac:dyDescent="0.3">
      <c r="B174" s="51" t="str">
        <f>'Sales Data'!C173</f>
        <v>INV-2306-171</v>
      </c>
      <c r="C174" s="31"/>
      <c r="D174" s="16" t="str">
        <f>'Sales Data'!E173</f>
        <v>PC-IND-AJ59T-02</v>
      </c>
      <c r="E174" s="52">
        <f>'Sales Data'!G173</f>
        <v>945</v>
      </c>
      <c r="F174" s="72">
        <f>'Sales Data'!H173</f>
        <v>23</v>
      </c>
      <c r="G174" s="73"/>
      <c r="H174" s="73">
        <f>(InvoiceDetails[[#This Row],[Qty]]*InvoiceDetails[[#This Row],[Unit price]])-InvoiceDetails[[#This Row],[Discount]]</f>
        <v>21735</v>
      </c>
    </row>
    <row r="175" spans="2:8" ht="34.049999999999997" customHeight="1" x14ac:dyDescent="0.3">
      <c r="B175" s="51" t="str">
        <f>'Sales Data'!C174</f>
        <v>INV-2306-172</v>
      </c>
      <c r="C175" s="31"/>
      <c r="D175" s="16" t="str">
        <f>'Sales Data'!E174</f>
        <v>ED-IND-HF61S-91</v>
      </c>
      <c r="E175" s="52">
        <f>'Sales Data'!G174</f>
        <v>563</v>
      </c>
      <c r="F175" s="72">
        <f>'Sales Data'!H174</f>
        <v>27</v>
      </c>
      <c r="G175" s="73"/>
      <c r="H175" s="73">
        <f>(InvoiceDetails[[#This Row],[Qty]]*InvoiceDetails[[#This Row],[Unit price]])-InvoiceDetails[[#This Row],[Discount]]</f>
        <v>15201</v>
      </c>
    </row>
    <row r="176" spans="2:8" ht="34.049999999999997" customHeight="1" x14ac:dyDescent="0.3">
      <c r="B176" s="51" t="str">
        <f>'Sales Data'!C175</f>
        <v>INV-2306-173</v>
      </c>
      <c r="C176" s="31"/>
      <c r="D176" s="16" t="str">
        <f>'Sales Data'!E175</f>
        <v>ED-IND-DC63G-90</v>
      </c>
      <c r="E176" s="52">
        <f>'Sales Data'!G175</f>
        <v>727</v>
      </c>
      <c r="F176" s="72">
        <f>'Sales Data'!H175</f>
        <v>28</v>
      </c>
      <c r="G176" s="73"/>
      <c r="H176" s="73">
        <f>(InvoiceDetails[[#This Row],[Qty]]*InvoiceDetails[[#This Row],[Unit price]])-InvoiceDetails[[#This Row],[Discount]]</f>
        <v>20356</v>
      </c>
    </row>
    <row r="177" spans="2:8" ht="34.049999999999997" customHeight="1" x14ac:dyDescent="0.3">
      <c r="B177" s="51" t="str">
        <f>'Sales Data'!C176</f>
        <v>INV-2306-174</v>
      </c>
      <c r="C177" s="31"/>
      <c r="D177" s="16" t="str">
        <f>'Sales Data'!E176</f>
        <v>PC-IND-FW87C-92</v>
      </c>
      <c r="E177" s="52">
        <f>'Sales Data'!G176</f>
        <v>649</v>
      </c>
      <c r="F177" s="72">
        <f>'Sales Data'!H176</f>
        <v>28</v>
      </c>
      <c r="G177" s="73"/>
      <c r="H177" s="73">
        <f>(InvoiceDetails[[#This Row],[Qty]]*InvoiceDetails[[#This Row],[Unit price]])-InvoiceDetails[[#This Row],[Discount]]</f>
        <v>18172</v>
      </c>
    </row>
    <row r="178" spans="2:8" ht="34.049999999999997" customHeight="1" x14ac:dyDescent="0.3">
      <c r="B178" s="51" t="str">
        <f>'Sales Data'!C177</f>
        <v>INV-2306-175</v>
      </c>
      <c r="C178" s="31"/>
      <c r="D178" s="16" t="str">
        <f>'Sales Data'!E177</f>
        <v>ED-IND-ZW82C-29</v>
      </c>
      <c r="E178" s="52">
        <f>'Sales Data'!G177</f>
        <v>668</v>
      </c>
      <c r="F178" s="72">
        <f>'Sales Data'!H177</f>
        <v>22</v>
      </c>
      <c r="G178" s="73"/>
      <c r="H178" s="73">
        <f>(InvoiceDetails[[#This Row],[Qty]]*InvoiceDetails[[#This Row],[Unit price]])-InvoiceDetails[[#This Row],[Discount]]</f>
        <v>14696</v>
      </c>
    </row>
    <row r="179" spans="2:8" ht="34.049999999999997" customHeight="1" x14ac:dyDescent="0.3">
      <c r="B179" s="51" t="str">
        <f>'Sales Data'!C178</f>
        <v>INV-2306-176</v>
      </c>
      <c r="C179" s="31"/>
      <c r="D179" s="16" t="str">
        <f>'Sales Data'!E178</f>
        <v>PC-IND-TX99P-95</v>
      </c>
      <c r="E179" s="52">
        <f>'Sales Data'!G178</f>
        <v>819</v>
      </c>
      <c r="F179" s="72">
        <f>'Sales Data'!H178</f>
        <v>29</v>
      </c>
      <c r="G179" s="73"/>
      <c r="H179" s="73">
        <f>(InvoiceDetails[[#This Row],[Qty]]*InvoiceDetails[[#This Row],[Unit price]])-InvoiceDetails[[#This Row],[Discount]]</f>
        <v>23751</v>
      </c>
    </row>
    <row r="180" spans="2:8" ht="34.049999999999997" customHeight="1" x14ac:dyDescent="0.3">
      <c r="B180" s="51" t="str">
        <f>'Sales Data'!C179</f>
        <v>INV-2306-177</v>
      </c>
      <c r="C180" s="31"/>
      <c r="D180" s="16" t="str">
        <f>'Sales Data'!E179</f>
        <v>ED-IND-MH15V-88</v>
      </c>
      <c r="E180" s="52">
        <f>'Sales Data'!G179</f>
        <v>510</v>
      </c>
      <c r="F180" s="72">
        <f>'Sales Data'!H179</f>
        <v>26</v>
      </c>
      <c r="G180" s="73"/>
      <c r="H180" s="73">
        <f>(InvoiceDetails[[#This Row],[Qty]]*InvoiceDetails[[#This Row],[Unit price]])-InvoiceDetails[[#This Row],[Discount]]</f>
        <v>13260</v>
      </c>
    </row>
    <row r="181" spans="2:8" ht="34.049999999999997" customHeight="1" x14ac:dyDescent="0.3">
      <c r="B181" s="51" t="str">
        <f>'Sales Data'!C180</f>
        <v>INV-2306-178</v>
      </c>
      <c r="C181" s="31"/>
      <c r="D181" s="16" t="str">
        <f>'Sales Data'!E180</f>
        <v>ED-IND-XB68E-28</v>
      </c>
      <c r="E181" s="52">
        <f>'Sales Data'!G180</f>
        <v>755</v>
      </c>
      <c r="F181" s="72">
        <f>'Sales Data'!H180</f>
        <v>28</v>
      </c>
      <c r="G181" s="73"/>
      <c r="H181" s="73">
        <f>(InvoiceDetails[[#This Row],[Qty]]*InvoiceDetails[[#This Row],[Unit price]])-InvoiceDetails[[#This Row],[Discount]]</f>
        <v>21140</v>
      </c>
    </row>
    <row r="182" spans="2:8" ht="34.049999999999997" customHeight="1" x14ac:dyDescent="0.3">
      <c r="B182" s="51" t="str">
        <f>'Sales Data'!C181</f>
        <v>INV-2307-179</v>
      </c>
      <c r="C182" s="31"/>
      <c r="D182" s="16" t="str">
        <f>'Sales Data'!E181</f>
        <v>ED-IND-NK30D-60</v>
      </c>
      <c r="E182" s="52">
        <f>'Sales Data'!G181</f>
        <v>654</v>
      </c>
      <c r="F182" s="72">
        <f>'Sales Data'!H181</f>
        <v>30</v>
      </c>
      <c r="G182" s="73"/>
      <c r="H182" s="73">
        <f>(InvoiceDetails[[#This Row],[Qty]]*InvoiceDetails[[#This Row],[Unit price]])-InvoiceDetails[[#This Row],[Discount]]</f>
        <v>19620</v>
      </c>
    </row>
    <row r="183" spans="2:8" ht="34.049999999999997" customHeight="1" x14ac:dyDescent="0.3">
      <c r="B183" s="51" t="str">
        <f>'Sales Data'!C182</f>
        <v>INV-2307-180</v>
      </c>
      <c r="C183" s="31"/>
      <c r="D183" s="16" t="str">
        <f>'Sales Data'!E182</f>
        <v>ED-IND-KI63V-50</v>
      </c>
      <c r="E183" s="52">
        <f>'Sales Data'!G182</f>
        <v>953</v>
      </c>
      <c r="F183" s="72">
        <f>'Sales Data'!H182</f>
        <v>23</v>
      </c>
      <c r="G183" s="73"/>
      <c r="H183" s="73">
        <f>(InvoiceDetails[[#This Row],[Qty]]*InvoiceDetails[[#This Row],[Unit price]])-InvoiceDetails[[#This Row],[Discount]]</f>
        <v>21919</v>
      </c>
    </row>
    <row r="184" spans="2:8" ht="34.049999999999997" customHeight="1" x14ac:dyDescent="0.3">
      <c r="B184" s="51" t="str">
        <f>'Sales Data'!C183</f>
        <v>INV-2307-181</v>
      </c>
      <c r="C184" s="31"/>
      <c r="D184" s="16" t="str">
        <f>'Sales Data'!E183</f>
        <v>PC-IND-ZM37R-60</v>
      </c>
      <c r="E184" s="52">
        <f>'Sales Data'!G183</f>
        <v>961</v>
      </c>
      <c r="F184" s="72">
        <f>'Sales Data'!H183</f>
        <v>27</v>
      </c>
      <c r="G184" s="73"/>
      <c r="H184" s="73">
        <f>(InvoiceDetails[[#This Row],[Qty]]*InvoiceDetails[[#This Row],[Unit price]])-InvoiceDetails[[#This Row],[Discount]]</f>
        <v>25947</v>
      </c>
    </row>
    <row r="185" spans="2:8" ht="34.049999999999997" customHeight="1" x14ac:dyDescent="0.3">
      <c r="B185" s="51" t="str">
        <f>'Sales Data'!C184</f>
        <v>INV-2307-182</v>
      </c>
      <c r="C185" s="31"/>
      <c r="D185" s="16" t="str">
        <f>'Sales Data'!E184</f>
        <v>ED-IND-XO41R-64</v>
      </c>
      <c r="E185" s="52">
        <f>'Sales Data'!G184</f>
        <v>641</v>
      </c>
      <c r="F185" s="72">
        <f>'Sales Data'!H184</f>
        <v>26</v>
      </c>
      <c r="G185" s="73"/>
      <c r="H185" s="73">
        <f>(InvoiceDetails[[#This Row],[Qty]]*InvoiceDetails[[#This Row],[Unit price]])-InvoiceDetails[[#This Row],[Discount]]</f>
        <v>16666</v>
      </c>
    </row>
    <row r="186" spans="2:8" ht="34.049999999999997" customHeight="1" x14ac:dyDescent="0.3">
      <c r="B186" s="51" t="str">
        <f>'Sales Data'!C185</f>
        <v>INV-2307-183</v>
      </c>
      <c r="C186" s="31"/>
      <c r="D186" s="16" t="str">
        <f>'Sales Data'!E185</f>
        <v>ED-IND-BH42D-63</v>
      </c>
      <c r="E186" s="52">
        <f>'Sales Data'!G185</f>
        <v>586</v>
      </c>
      <c r="F186" s="72">
        <f>'Sales Data'!H185</f>
        <v>25</v>
      </c>
      <c r="G186" s="73"/>
      <c r="H186" s="73">
        <f>(InvoiceDetails[[#This Row],[Qty]]*InvoiceDetails[[#This Row],[Unit price]])-InvoiceDetails[[#This Row],[Discount]]</f>
        <v>14650</v>
      </c>
    </row>
    <row r="187" spans="2:8" ht="34.049999999999997" customHeight="1" x14ac:dyDescent="0.3">
      <c r="B187" s="51" t="str">
        <f>'Sales Data'!C186</f>
        <v>INV-2307-184</v>
      </c>
      <c r="C187" s="31"/>
      <c r="D187" s="16" t="str">
        <f>'Sales Data'!E186</f>
        <v>PC-IND-KA17E-84</v>
      </c>
      <c r="E187" s="52">
        <f>'Sales Data'!G186</f>
        <v>937</v>
      </c>
      <c r="F187" s="72">
        <f>'Sales Data'!H186</f>
        <v>25</v>
      </c>
      <c r="G187" s="73"/>
      <c r="H187" s="73">
        <f>(InvoiceDetails[[#This Row],[Qty]]*InvoiceDetails[[#This Row],[Unit price]])-InvoiceDetails[[#This Row],[Discount]]</f>
        <v>23425</v>
      </c>
    </row>
    <row r="188" spans="2:8" ht="34.049999999999997" customHeight="1" x14ac:dyDescent="0.3">
      <c r="B188" s="51" t="str">
        <f>'Sales Data'!C187</f>
        <v>INV-2307-185</v>
      </c>
      <c r="C188" s="31"/>
      <c r="D188" s="16" t="str">
        <f>'Sales Data'!E187</f>
        <v>ED-IND-TT97R-70</v>
      </c>
      <c r="E188" s="52">
        <f>'Sales Data'!G187</f>
        <v>676</v>
      </c>
      <c r="F188" s="72">
        <f>'Sales Data'!H187</f>
        <v>22</v>
      </c>
      <c r="G188" s="73"/>
      <c r="H188" s="73">
        <f>(InvoiceDetails[[#This Row],[Qty]]*InvoiceDetails[[#This Row],[Unit price]])-InvoiceDetails[[#This Row],[Discount]]</f>
        <v>14872</v>
      </c>
    </row>
    <row r="189" spans="2:8" ht="34.049999999999997" customHeight="1" x14ac:dyDescent="0.3">
      <c r="B189" s="51" t="str">
        <f>'Sales Data'!C188</f>
        <v>INV-2307-186</v>
      </c>
      <c r="C189" s="31"/>
      <c r="D189" s="16" t="str">
        <f>'Sales Data'!E188</f>
        <v>ED-IND-VF46R-52</v>
      </c>
      <c r="E189" s="52">
        <f>'Sales Data'!G188</f>
        <v>824</v>
      </c>
      <c r="F189" s="72">
        <f>'Sales Data'!H188</f>
        <v>31</v>
      </c>
      <c r="G189" s="73"/>
      <c r="H189" s="73">
        <f>(InvoiceDetails[[#This Row],[Qty]]*InvoiceDetails[[#This Row],[Unit price]])-InvoiceDetails[[#This Row],[Discount]]</f>
        <v>25544</v>
      </c>
    </row>
    <row r="190" spans="2:8" ht="34.049999999999997" customHeight="1" x14ac:dyDescent="0.3">
      <c r="B190" s="51" t="str">
        <f>'Sales Data'!C189</f>
        <v>INV-2307-187</v>
      </c>
      <c r="C190" s="31"/>
      <c r="D190" s="16" t="str">
        <f>'Sales Data'!E189</f>
        <v>PC-IND-IL17H-44</v>
      </c>
      <c r="E190" s="52">
        <f>'Sales Data'!G189</f>
        <v>867</v>
      </c>
      <c r="F190" s="72">
        <f>'Sales Data'!H189</f>
        <v>24</v>
      </c>
      <c r="G190" s="73"/>
      <c r="H190" s="73">
        <f>(InvoiceDetails[[#This Row],[Qty]]*InvoiceDetails[[#This Row],[Unit price]])-InvoiceDetails[[#This Row],[Discount]]</f>
        <v>20808</v>
      </c>
    </row>
    <row r="191" spans="2:8" ht="34.049999999999997" customHeight="1" x14ac:dyDescent="0.3">
      <c r="B191" s="51" t="str">
        <f>'Sales Data'!C190</f>
        <v>INV-2307-188</v>
      </c>
      <c r="C191" s="31"/>
      <c r="D191" s="16" t="str">
        <f>'Sales Data'!E190</f>
        <v>ED-IND-LC19X-47</v>
      </c>
      <c r="E191" s="52">
        <f>'Sales Data'!G190</f>
        <v>505</v>
      </c>
      <c r="F191" s="72">
        <f>'Sales Data'!H190</f>
        <v>29</v>
      </c>
      <c r="G191" s="73"/>
      <c r="H191" s="73">
        <f>(InvoiceDetails[[#This Row],[Qty]]*InvoiceDetails[[#This Row],[Unit price]])-InvoiceDetails[[#This Row],[Discount]]</f>
        <v>14645</v>
      </c>
    </row>
    <row r="192" spans="2:8" ht="34.049999999999997" customHeight="1" x14ac:dyDescent="0.3">
      <c r="B192" s="51" t="str">
        <f>'Sales Data'!C191</f>
        <v>INV-2307-189</v>
      </c>
      <c r="C192" s="31"/>
      <c r="D192" s="16" t="str">
        <f>'Sales Data'!E191</f>
        <v>PC-IND-MA24L-60</v>
      </c>
      <c r="E192" s="52">
        <f>'Sales Data'!G191</f>
        <v>705</v>
      </c>
      <c r="F192" s="72">
        <f>'Sales Data'!H191</f>
        <v>29</v>
      </c>
      <c r="G192" s="73"/>
      <c r="H192" s="73">
        <f>(InvoiceDetails[[#This Row],[Qty]]*InvoiceDetails[[#This Row],[Unit price]])-InvoiceDetails[[#This Row],[Discount]]</f>
        <v>20445</v>
      </c>
    </row>
    <row r="193" spans="2:8" ht="34.049999999999997" customHeight="1" x14ac:dyDescent="0.3">
      <c r="B193" s="51" t="str">
        <f>'Sales Data'!C192</f>
        <v>INV-2307-190</v>
      </c>
      <c r="C193" s="31"/>
      <c r="D193" s="16" t="str">
        <f>'Sales Data'!E192</f>
        <v>PC-IND-SI33P-87</v>
      </c>
      <c r="E193" s="52">
        <f>'Sales Data'!G192</f>
        <v>543</v>
      </c>
      <c r="F193" s="72">
        <f>'Sales Data'!H192</f>
        <v>21</v>
      </c>
      <c r="G193" s="73"/>
      <c r="H193" s="73">
        <f>(InvoiceDetails[[#This Row],[Qty]]*InvoiceDetails[[#This Row],[Unit price]])-InvoiceDetails[[#This Row],[Discount]]</f>
        <v>11403</v>
      </c>
    </row>
    <row r="194" spans="2:8" ht="34.049999999999997" customHeight="1" x14ac:dyDescent="0.3">
      <c r="B194" s="51" t="str">
        <f>'Sales Data'!C193</f>
        <v>INV-2307-191</v>
      </c>
      <c r="C194" s="31"/>
      <c r="D194" s="16" t="str">
        <f>'Sales Data'!E193</f>
        <v>ED-IND-BO38Z-49</v>
      </c>
      <c r="E194" s="52">
        <f>'Sales Data'!G193</f>
        <v>784</v>
      </c>
      <c r="F194" s="72">
        <f>'Sales Data'!H193</f>
        <v>28</v>
      </c>
      <c r="G194" s="73"/>
      <c r="H194" s="73">
        <f>(InvoiceDetails[[#This Row],[Qty]]*InvoiceDetails[[#This Row],[Unit price]])-InvoiceDetails[[#This Row],[Discount]]</f>
        <v>21952</v>
      </c>
    </row>
    <row r="195" spans="2:8" ht="34.049999999999997" customHeight="1" x14ac:dyDescent="0.3">
      <c r="B195" s="51" t="str">
        <f>'Sales Data'!C194</f>
        <v>INV-2307-192</v>
      </c>
      <c r="C195" s="31"/>
      <c r="D195" s="16" t="str">
        <f>'Sales Data'!E194</f>
        <v>ED-IND-QB49W-20</v>
      </c>
      <c r="E195" s="52">
        <f>'Sales Data'!G194</f>
        <v>712</v>
      </c>
      <c r="F195" s="72">
        <f>'Sales Data'!H194</f>
        <v>31</v>
      </c>
      <c r="G195" s="73"/>
      <c r="H195" s="73">
        <f>(InvoiceDetails[[#This Row],[Qty]]*InvoiceDetails[[#This Row],[Unit price]])-InvoiceDetails[[#This Row],[Discount]]</f>
        <v>22072</v>
      </c>
    </row>
    <row r="196" spans="2:8" ht="34.049999999999997" customHeight="1" x14ac:dyDescent="0.3">
      <c r="B196" s="51" t="str">
        <f>'Sales Data'!C195</f>
        <v>INV-2307-193</v>
      </c>
      <c r="C196" s="31"/>
      <c r="D196" s="16" t="str">
        <f>'Sales Data'!E195</f>
        <v>ED-IND-BK63G-08</v>
      </c>
      <c r="E196" s="52">
        <f>'Sales Data'!G195</f>
        <v>635</v>
      </c>
      <c r="F196" s="72">
        <f>'Sales Data'!H195</f>
        <v>21</v>
      </c>
      <c r="G196" s="73"/>
      <c r="H196" s="73">
        <f>(InvoiceDetails[[#This Row],[Qty]]*InvoiceDetails[[#This Row],[Unit price]])-InvoiceDetails[[#This Row],[Discount]]</f>
        <v>13335</v>
      </c>
    </row>
    <row r="197" spans="2:8" ht="34.049999999999997" customHeight="1" x14ac:dyDescent="0.3">
      <c r="B197" s="51" t="str">
        <f>'Sales Data'!C196</f>
        <v>INV-2307-194</v>
      </c>
      <c r="C197" s="31"/>
      <c r="D197" s="16" t="str">
        <f>'Sales Data'!E196</f>
        <v>ED-IND-TY46N-28</v>
      </c>
      <c r="E197" s="52">
        <f>'Sales Data'!G196</f>
        <v>510</v>
      </c>
      <c r="F197" s="72">
        <f>'Sales Data'!H196</f>
        <v>31</v>
      </c>
      <c r="G197" s="73"/>
      <c r="H197" s="73">
        <f>(InvoiceDetails[[#This Row],[Qty]]*InvoiceDetails[[#This Row],[Unit price]])-InvoiceDetails[[#This Row],[Discount]]</f>
        <v>15810</v>
      </c>
    </row>
    <row r="198" spans="2:8" ht="34.049999999999997" customHeight="1" x14ac:dyDescent="0.3">
      <c r="B198" s="51" t="str">
        <f>'Sales Data'!C197</f>
        <v>INV-2307-195</v>
      </c>
      <c r="C198" s="31"/>
      <c r="D198" s="16" t="str">
        <f>'Sales Data'!E197</f>
        <v>ED-IND-RA31A-95</v>
      </c>
      <c r="E198" s="52">
        <f>'Sales Data'!G197</f>
        <v>664</v>
      </c>
      <c r="F198" s="72">
        <f>'Sales Data'!H197</f>
        <v>27</v>
      </c>
      <c r="G198" s="73"/>
      <c r="H198" s="73">
        <f>(InvoiceDetails[[#This Row],[Qty]]*InvoiceDetails[[#This Row],[Unit price]])-InvoiceDetails[[#This Row],[Discount]]</f>
        <v>17928</v>
      </c>
    </row>
    <row r="199" spans="2:8" ht="34.049999999999997" customHeight="1" x14ac:dyDescent="0.3">
      <c r="B199" s="51" t="str">
        <f>'Sales Data'!C198</f>
        <v>INV-2307-196</v>
      </c>
      <c r="C199" s="31"/>
      <c r="D199" s="16" t="str">
        <f>'Sales Data'!E198</f>
        <v>PC-IND-GV11T-76</v>
      </c>
      <c r="E199" s="52">
        <f>'Sales Data'!G198</f>
        <v>882</v>
      </c>
      <c r="F199" s="72">
        <f>'Sales Data'!H198</f>
        <v>21</v>
      </c>
      <c r="G199" s="73"/>
      <c r="H199" s="73">
        <f>(InvoiceDetails[[#This Row],[Qty]]*InvoiceDetails[[#This Row],[Unit price]])-InvoiceDetails[[#This Row],[Discount]]</f>
        <v>18522</v>
      </c>
    </row>
    <row r="200" spans="2:8" ht="34.049999999999997" customHeight="1" x14ac:dyDescent="0.3">
      <c r="B200" s="51" t="str">
        <f>'Sales Data'!C199</f>
        <v>INV-2307-197</v>
      </c>
      <c r="C200" s="31"/>
      <c r="D200" s="16" t="str">
        <f>'Sales Data'!E199</f>
        <v>ED-IND-VN77J-66</v>
      </c>
      <c r="E200" s="52">
        <f>'Sales Data'!G199</f>
        <v>765</v>
      </c>
      <c r="F200" s="72">
        <f>'Sales Data'!H199</f>
        <v>21</v>
      </c>
      <c r="G200" s="73"/>
      <c r="H200" s="73">
        <f>(InvoiceDetails[[#This Row],[Qty]]*InvoiceDetails[[#This Row],[Unit price]])-InvoiceDetails[[#This Row],[Discount]]</f>
        <v>16065</v>
      </c>
    </row>
    <row r="201" spans="2:8" ht="34.049999999999997" customHeight="1" x14ac:dyDescent="0.3">
      <c r="B201" s="51" t="str">
        <f>'Sales Data'!C200</f>
        <v>INV-2307-198</v>
      </c>
      <c r="C201" s="31"/>
      <c r="D201" s="16" t="str">
        <f>'Sales Data'!E200</f>
        <v>ED-IND-YI53X-23</v>
      </c>
      <c r="E201" s="52">
        <f>'Sales Data'!G200</f>
        <v>915</v>
      </c>
      <c r="F201" s="72">
        <f>'Sales Data'!H200</f>
        <v>28</v>
      </c>
      <c r="G201" s="73"/>
      <c r="H201" s="73">
        <f>(InvoiceDetails[[#This Row],[Qty]]*InvoiceDetails[[#This Row],[Unit price]])-InvoiceDetails[[#This Row],[Discount]]</f>
        <v>25620</v>
      </c>
    </row>
    <row r="202" spans="2:8" ht="34.049999999999997" customHeight="1" x14ac:dyDescent="0.3">
      <c r="B202" s="51" t="str">
        <f>'Sales Data'!C201</f>
        <v>INV-2307-199</v>
      </c>
      <c r="C202" s="31"/>
      <c r="D202" s="16" t="str">
        <f>'Sales Data'!E201</f>
        <v>PC-IND-IB86M-15</v>
      </c>
      <c r="E202" s="52">
        <f>'Sales Data'!G201</f>
        <v>705</v>
      </c>
      <c r="F202" s="72">
        <f>'Sales Data'!H201</f>
        <v>31</v>
      </c>
      <c r="G202" s="73"/>
      <c r="H202" s="73">
        <f>(InvoiceDetails[[#This Row],[Qty]]*InvoiceDetails[[#This Row],[Unit price]])-InvoiceDetails[[#This Row],[Discount]]</f>
        <v>21855</v>
      </c>
    </row>
    <row r="203" spans="2:8" ht="34.049999999999997" customHeight="1" x14ac:dyDescent="0.3">
      <c r="B203" s="51" t="str">
        <f>'Sales Data'!C202</f>
        <v>INV-2307-200</v>
      </c>
      <c r="C203" s="31"/>
      <c r="D203" s="16" t="str">
        <f>'Sales Data'!E202</f>
        <v>PC-IND-LT34F-30</v>
      </c>
      <c r="E203" s="52">
        <f>'Sales Data'!G202</f>
        <v>877</v>
      </c>
      <c r="F203" s="72">
        <f>'Sales Data'!H202</f>
        <v>21</v>
      </c>
      <c r="G203" s="73"/>
      <c r="H203" s="73">
        <f>(InvoiceDetails[[#This Row],[Qty]]*InvoiceDetails[[#This Row],[Unit price]])-InvoiceDetails[[#This Row],[Discount]]</f>
        <v>18417</v>
      </c>
    </row>
    <row r="204" spans="2:8" ht="34.049999999999997" customHeight="1" x14ac:dyDescent="0.3">
      <c r="B204" s="51" t="str">
        <f>'Sales Data'!C203</f>
        <v>INV-2307-201</v>
      </c>
      <c r="C204" s="31"/>
      <c r="D204" s="16" t="str">
        <f>'Sales Data'!E203</f>
        <v>ED-IND-QP54P-23</v>
      </c>
      <c r="E204" s="52">
        <f>'Sales Data'!G203</f>
        <v>642</v>
      </c>
      <c r="F204" s="72">
        <f>'Sales Data'!H203</f>
        <v>26</v>
      </c>
      <c r="G204" s="73"/>
      <c r="H204" s="73">
        <f>(InvoiceDetails[[#This Row],[Qty]]*InvoiceDetails[[#This Row],[Unit price]])-InvoiceDetails[[#This Row],[Discount]]</f>
        <v>16692</v>
      </c>
    </row>
    <row r="205" spans="2:8" ht="34.049999999999997" customHeight="1" x14ac:dyDescent="0.3">
      <c r="B205" s="51" t="str">
        <f>'Sales Data'!C204</f>
        <v>INV-2307-202</v>
      </c>
      <c r="C205" s="31"/>
      <c r="D205" s="16" t="str">
        <f>'Sales Data'!E204</f>
        <v>ED-IND-GL26J-02</v>
      </c>
      <c r="E205" s="52">
        <f>'Sales Data'!G204</f>
        <v>632</v>
      </c>
      <c r="F205" s="72">
        <f>'Sales Data'!H204</f>
        <v>21</v>
      </c>
      <c r="G205" s="73"/>
      <c r="H205" s="73">
        <f>(InvoiceDetails[[#This Row],[Qty]]*InvoiceDetails[[#This Row],[Unit price]])-InvoiceDetails[[#This Row],[Discount]]</f>
        <v>13272</v>
      </c>
    </row>
    <row r="206" spans="2:8" ht="34.049999999999997" customHeight="1" x14ac:dyDescent="0.3">
      <c r="B206" s="51" t="str">
        <f>'Sales Data'!C205</f>
        <v>INV-2307-203</v>
      </c>
      <c r="C206" s="31"/>
      <c r="D206" s="16" t="str">
        <f>'Sales Data'!E205</f>
        <v>ED-IND-II82H-02</v>
      </c>
      <c r="E206" s="52">
        <f>'Sales Data'!G205</f>
        <v>529</v>
      </c>
      <c r="F206" s="72">
        <f>'Sales Data'!H205</f>
        <v>30</v>
      </c>
      <c r="G206" s="73"/>
      <c r="H206" s="73">
        <f>(InvoiceDetails[[#This Row],[Qty]]*InvoiceDetails[[#This Row],[Unit price]])-InvoiceDetails[[#This Row],[Discount]]</f>
        <v>15870</v>
      </c>
    </row>
    <row r="207" spans="2:8" ht="34.049999999999997" customHeight="1" x14ac:dyDescent="0.3">
      <c r="B207" s="51" t="str">
        <f>'Sales Data'!C206</f>
        <v>INV-2307-204</v>
      </c>
      <c r="C207" s="31"/>
      <c r="D207" s="16" t="str">
        <f>'Sales Data'!E206</f>
        <v>ED-IND-OK83P-96</v>
      </c>
      <c r="E207" s="52">
        <f>'Sales Data'!G206</f>
        <v>888</v>
      </c>
      <c r="F207" s="72">
        <f>'Sales Data'!H206</f>
        <v>23</v>
      </c>
      <c r="G207" s="73"/>
      <c r="H207" s="73">
        <f>(InvoiceDetails[[#This Row],[Qty]]*InvoiceDetails[[#This Row],[Unit price]])-InvoiceDetails[[#This Row],[Discount]]</f>
        <v>20424</v>
      </c>
    </row>
    <row r="208" spans="2:8" ht="34.049999999999997" customHeight="1" x14ac:dyDescent="0.3">
      <c r="B208" s="51" t="str">
        <f>'Sales Data'!C207</f>
        <v>INV-2307-205</v>
      </c>
      <c r="C208" s="31"/>
      <c r="D208" s="16" t="str">
        <f>'Sales Data'!E207</f>
        <v>ED-IND-QA83P-49</v>
      </c>
      <c r="E208" s="52">
        <f>'Sales Data'!G207</f>
        <v>901</v>
      </c>
      <c r="F208" s="72">
        <f>'Sales Data'!H207</f>
        <v>28</v>
      </c>
      <c r="G208" s="73"/>
      <c r="H208" s="73">
        <f>(InvoiceDetails[[#This Row],[Qty]]*InvoiceDetails[[#This Row],[Unit price]])-InvoiceDetails[[#This Row],[Discount]]</f>
        <v>25228</v>
      </c>
    </row>
    <row r="209" spans="2:8" ht="34.049999999999997" customHeight="1" x14ac:dyDescent="0.3">
      <c r="B209" s="51" t="str">
        <f>'Sales Data'!C208</f>
        <v>INV-2307-206</v>
      </c>
      <c r="C209" s="31"/>
      <c r="D209" s="16" t="str">
        <f>'Sales Data'!E208</f>
        <v>PC-IND-IS90G-67</v>
      </c>
      <c r="E209" s="52">
        <f>'Sales Data'!G208</f>
        <v>728</v>
      </c>
      <c r="F209" s="72">
        <f>'Sales Data'!H208</f>
        <v>23</v>
      </c>
      <c r="G209" s="73"/>
      <c r="H209" s="73">
        <f>(InvoiceDetails[[#This Row],[Qty]]*InvoiceDetails[[#This Row],[Unit price]])-InvoiceDetails[[#This Row],[Discount]]</f>
        <v>16744</v>
      </c>
    </row>
    <row r="210" spans="2:8" ht="34.049999999999997" customHeight="1" x14ac:dyDescent="0.3">
      <c r="B210" s="51" t="str">
        <f>'Sales Data'!C209</f>
        <v>INV-2307-207</v>
      </c>
      <c r="C210" s="31"/>
      <c r="D210" s="16" t="str">
        <f>'Sales Data'!E209</f>
        <v>PC-IND-YF92L-53</v>
      </c>
      <c r="E210" s="52">
        <f>'Sales Data'!G209</f>
        <v>679</v>
      </c>
      <c r="F210" s="72">
        <f>'Sales Data'!H209</f>
        <v>26</v>
      </c>
      <c r="G210" s="73"/>
      <c r="H210" s="73">
        <f>(InvoiceDetails[[#This Row],[Qty]]*InvoiceDetails[[#This Row],[Unit price]])-InvoiceDetails[[#This Row],[Discount]]</f>
        <v>17654</v>
      </c>
    </row>
    <row r="211" spans="2:8" ht="34.049999999999997" customHeight="1" x14ac:dyDescent="0.3">
      <c r="B211" s="51" t="str">
        <f>'Sales Data'!C210</f>
        <v>INV-2307-208</v>
      </c>
      <c r="C211" s="31"/>
      <c r="D211" s="16" t="str">
        <f>'Sales Data'!E210</f>
        <v>ED-IND-EB30X-70</v>
      </c>
      <c r="E211" s="52">
        <f>'Sales Data'!G210</f>
        <v>743</v>
      </c>
      <c r="F211" s="72">
        <f>'Sales Data'!H210</f>
        <v>29</v>
      </c>
      <c r="G211" s="73"/>
      <c r="H211" s="73">
        <f>(InvoiceDetails[[#This Row],[Qty]]*InvoiceDetails[[#This Row],[Unit price]])-InvoiceDetails[[#This Row],[Discount]]</f>
        <v>21547</v>
      </c>
    </row>
    <row r="212" spans="2:8" ht="34.049999999999997" customHeight="1" x14ac:dyDescent="0.3">
      <c r="B212" s="51" t="str">
        <f>'Sales Data'!C211</f>
        <v>INV-2307-209</v>
      </c>
      <c r="C212" s="31"/>
      <c r="D212" s="16" t="str">
        <f>'Sales Data'!E211</f>
        <v>ED-IND-XY85B-17</v>
      </c>
      <c r="E212" s="52">
        <f>'Sales Data'!G211</f>
        <v>907</v>
      </c>
      <c r="F212" s="72">
        <f>'Sales Data'!H211</f>
        <v>24</v>
      </c>
      <c r="G212" s="73"/>
      <c r="H212" s="73">
        <f>(InvoiceDetails[[#This Row],[Qty]]*InvoiceDetails[[#This Row],[Unit price]])-InvoiceDetails[[#This Row],[Discount]]</f>
        <v>21768</v>
      </c>
    </row>
    <row r="213" spans="2:8" ht="34.049999999999997" customHeight="1" x14ac:dyDescent="0.3">
      <c r="B213" s="51" t="str">
        <f>'Sales Data'!C212</f>
        <v>INV-2308-210</v>
      </c>
      <c r="C213" s="31"/>
      <c r="D213" s="16" t="str">
        <f>'Sales Data'!E212</f>
        <v>ED-IND-KK62A-63</v>
      </c>
      <c r="E213" s="52">
        <f>'Sales Data'!G212</f>
        <v>714</v>
      </c>
      <c r="F213" s="72">
        <f>'Sales Data'!H212</f>
        <v>27</v>
      </c>
      <c r="G213" s="73"/>
      <c r="H213" s="73">
        <f>(InvoiceDetails[[#This Row],[Qty]]*InvoiceDetails[[#This Row],[Unit price]])-InvoiceDetails[[#This Row],[Discount]]</f>
        <v>19278</v>
      </c>
    </row>
    <row r="214" spans="2:8" ht="34.049999999999997" customHeight="1" x14ac:dyDescent="0.3">
      <c r="B214" s="51" t="str">
        <f>'Sales Data'!C213</f>
        <v>INV-2308-211</v>
      </c>
      <c r="C214" s="31"/>
      <c r="D214" s="16" t="str">
        <f>'Sales Data'!E213</f>
        <v>PC-IND-SX24U-14</v>
      </c>
      <c r="E214" s="52">
        <f>'Sales Data'!G213</f>
        <v>983</v>
      </c>
      <c r="F214" s="72">
        <f>'Sales Data'!H213</f>
        <v>24</v>
      </c>
      <c r="G214" s="73"/>
      <c r="H214" s="73">
        <f>(InvoiceDetails[[#This Row],[Qty]]*InvoiceDetails[[#This Row],[Unit price]])-InvoiceDetails[[#This Row],[Discount]]</f>
        <v>23592</v>
      </c>
    </row>
    <row r="215" spans="2:8" ht="34.049999999999997" customHeight="1" x14ac:dyDescent="0.3">
      <c r="B215" s="51" t="str">
        <f>'Sales Data'!C214</f>
        <v>INV-2308-212</v>
      </c>
      <c r="C215" s="31"/>
      <c r="D215" s="16" t="str">
        <f>'Sales Data'!E214</f>
        <v>ED-IND-VO14D-02</v>
      </c>
      <c r="E215" s="52">
        <f>'Sales Data'!G214</f>
        <v>569</v>
      </c>
      <c r="F215" s="72">
        <f>'Sales Data'!H214</f>
        <v>29</v>
      </c>
      <c r="G215" s="73"/>
      <c r="H215" s="73">
        <f>(InvoiceDetails[[#This Row],[Qty]]*InvoiceDetails[[#This Row],[Unit price]])-InvoiceDetails[[#This Row],[Discount]]</f>
        <v>16501</v>
      </c>
    </row>
    <row r="216" spans="2:8" ht="34.049999999999997" customHeight="1" x14ac:dyDescent="0.3">
      <c r="B216" s="51" t="str">
        <f>'Sales Data'!C215</f>
        <v>INV-2308-213</v>
      </c>
      <c r="C216" s="31"/>
      <c r="D216" s="16" t="str">
        <f>'Sales Data'!E215</f>
        <v>ED-IND-WO12H-98</v>
      </c>
      <c r="E216" s="52">
        <f>'Sales Data'!G215</f>
        <v>860</v>
      </c>
      <c r="F216" s="72">
        <f>'Sales Data'!H215</f>
        <v>31</v>
      </c>
      <c r="G216" s="73"/>
      <c r="H216" s="73">
        <f>(InvoiceDetails[[#This Row],[Qty]]*InvoiceDetails[[#This Row],[Unit price]])-InvoiceDetails[[#This Row],[Discount]]</f>
        <v>26660</v>
      </c>
    </row>
    <row r="217" spans="2:8" ht="34.049999999999997" customHeight="1" x14ac:dyDescent="0.3">
      <c r="B217" s="51" t="str">
        <f>'Sales Data'!C216</f>
        <v>INV-2308-214</v>
      </c>
      <c r="C217" s="31"/>
      <c r="D217" s="16" t="str">
        <f>'Sales Data'!E216</f>
        <v>ED-IND-WV90C-43</v>
      </c>
      <c r="E217" s="52">
        <f>'Sales Data'!G216</f>
        <v>609</v>
      </c>
      <c r="F217" s="72">
        <f>'Sales Data'!H216</f>
        <v>30</v>
      </c>
      <c r="G217" s="73"/>
      <c r="H217" s="73">
        <f>(InvoiceDetails[[#This Row],[Qty]]*InvoiceDetails[[#This Row],[Unit price]])-InvoiceDetails[[#This Row],[Discount]]</f>
        <v>18270</v>
      </c>
    </row>
    <row r="218" spans="2:8" ht="34.049999999999997" customHeight="1" x14ac:dyDescent="0.3">
      <c r="B218" s="51" t="str">
        <f>'Sales Data'!C217</f>
        <v>INV-2308-215</v>
      </c>
      <c r="C218" s="31"/>
      <c r="D218" s="16" t="str">
        <f>'Sales Data'!E217</f>
        <v>ED-IND-ZL12A-22</v>
      </c>
      <c r="E218" s="52">
        <f>'Sales Data'!G217</f>
        <v>718</v>
      </c>
      <c r="F218" s="72">
        <f>'Sales Data'!H217</f>
        <v>26</v>
      </c>
      <c r="G218" s="73"/>
      <c r="H218" s="73">
        <f>(InvoiceDetails[[#This Row],[Qty]]*InvoiceDetails[[#This Row],[Unit price]])-InvoiceDetails[[#This Row],[Discount]]</f>
        <v>18668</v>
      </c>
    </row>
    <row r="219" spans="2:8" ht="34.049999999999997" customHeight="1" x14ac:dyDescent="0.3">
      <c r="B219" s="51" t="str">
        <f>'Sales Data'!C218</f>
        <v>INV-2308-216</v>
      </c>
      <c r="C219" s="31"/>
      <c r="D219" s="16" t="str">
        <f>'Sales Data'!E218</f>
        <v>PC-IND-XJ83X-20</v>
      </c>
      <c r="E219" s="52">
        <f>'Sales Data'!G218</f>
        <v>694</v>
      </c>
      <c r="F219" s="72">
        <f>'Sales Data'!H218</f>
        <v>27</v>
      </c>
      <c r="G219" s="73"/>
      <c r="H219" s="73">
        <f>(InvoiceDetails[[#This Row],[Qty]]*InvoiceDetails[[#This Row],[Unit price]])-InvoiceDetails[[#This Row],[Discount]]</f>
        <v>18738</v>
      </c>
    </row>
    <row r="220" spans="2:8" ht="34.049999999999997" customHeight="1" x14ac:dyDescent="0.3">
      <c r="B220" s="51" t="str">
        <f>'Sales Data'!C219</f>
        <v>INV-2308-217</v>
      </c>
      <c r="C220" s="31"/>
      <c r="D220" s="16" t="str">
        <f>'Sales Data'!E219</f>
        <v>ED-IND-XT19E-29</v>
      </c>
      <c r="E220" s="52">
        <f>'Sales Data'!G219</f>
        <v>555</v>
      </c>
      <c r="F220" s="72">
        <f>'Sales Data'!H219</f>
        <v>21</v>
      </c>
      <c r="G220" s="73"/>
      <c r="H220" s="73">
        <f>(InvoiceDetails[[#This Row],[Qty]]*InvoiceDetails[[#This Row],[Unit price]])-InvoiceDetails[[#This Row],[Discount]]</f>
        <v>11655</v>
      </c>
    </row>
    <row r="221" spans="2:8" ht="34.049999999999997" customHeight="1" x14ac:dyDescent="0.3">
      <c r="B221" s="51" t="str">
        <f>'Sales Data'!C220</f>
        <v>INV-2308-218</v>
      </c>
      <c r="C221" s="31"/>
      <c r="D221" s="16" t="str">
        <f>'Sales Data'!E220</f>
        <v>ED-IND-KG12I-57</v>
      </c>
      <c r="E221" s="52">
        <f>'Sales Data'!G220</f>
        <v>531</v>
      </c>
      <c r="F221" s="72">
        <f>'Sales Data'!H220</f>
        <v>28</v>
      </c>
      <c r="G221" s="73"/>
      <c r="H221" s="73">
        <f>(InvoiceDetails[[#This Row],[Qty]]*InvoiceDetails[[#This Row],[Unit price]])-InvoiceDetails[[#This Row],[Discount]]</f>
        <v>14868</v>
      </c>
    </row>
    <row r="222" spans="2:8" ht="34.049999999999997" customHeight="1" x14ac:dyDescent="0.3">
      <c r="B222" s="51" t="str">
        <f>'Sales Data'!C221</f>
        <v>INV-2308-219</v>
      </c>
      <c r="C222" s="31"/>
      <c r="D222" s="16" t="str">
        <f>'Sales Data'!E221</f>
        <v>ED-IND-VE40T-58</v>
      </c>
      <c r="E222" s="52">
        <f>'Sales Data'!G221</f>
        <v>534</v>
      </c>
      <c r="F222" s="72">
        <f>'Sales Data'!H221</f>
        <v>22</v>
      </c>
      <c r="G222" s="73"/>
      <c r="H222" s="73">
        <f>(InvoiceDetails[[#This Row],[Qty]]*InvoiceDetails[[#This Row],[Unit price]])-InvoiceDetails[[#This Row],[Discount]]</f>
        <v>11748</v>
      </c>
    </row>
    <row r="223" spans="2:8" ht="34.049999999999997" customHeight="1" x14ac:dyDescent="0.3">
      <c r="B223" s="51" t="str">
        <f>'Sales Data'!C222</f>
        <v>INV-2308-220</v>
      </c>
      <c r="C223" s="31"/>
      <c r="D223" s="16" t="str">
        <f>'Sales Data'!E222</f>
        <v>ED-IND-RW81D-76</v>
      </c>
      <c r="E223" s="52">
        <f>'Sales Data'!G222</f>
        <v>576</v>
      </c>
      <c r="F223" s="72">
        <f>'Sales Data'!H222</f>
        <v>22</v>
      </c>
      <c r="G223" s="73"/>
      <c r="H223" s="73">
        <f>(InvoiceDetails[[#This Row],[Qty]]*InvoiceDetails[[#This Row],[Unit price]])-InvoiceDetails[[#This Row],[Discount]]</f>
        <v>12672</v>
      </c>
    </row>
    <row r="224" spans="2:8" ht="34.049999999999997" customHeight="1" x14ac:dyDescent="0.3">
      <c r="B224" s="51" t="str">
        <f>'Sales Data'!C223</f>
        <v>INV-2308-221</v>
      </c>
      <c r="C224" s="31"/>
      <c r="D224" s="16" t="str">
        <f>'Sales Data'!E223</f>
        <v>ED-IND-ZN38Z-01</v>
      </c>
      <c r="E224" s="52">
        <f>'Sales Data'!G223</f>
        <v>690</v>
      </c>
      <c r="F224" s="72">
        <f>'Sales Data'!H223</f>
        <v>25</v>
      </c>
      <c r="G224" s="73"/>
      <c r="H224" s="73">
        <f>(InvoiceDetails[[#This Row],[Qty]]*InvoiceDetails[[#This Row],[Unit price]])-InvoiceDetails[[#This Row],[Discount]]</f>
        <v>17250</v>
      </c>
    </row>
    <row r="225" spans="2:8" ht="34.049999999999997" customHeight="1" x14ac:dyDescent="0.3">
      <c r="B225" s="51" t="str">
        <f>'Sales Data'!C224</f>
        <v>INV-2308-222</v>
      </c>
      <c r="C225" s="31"/>
      <c r="D225" s="16" t="str">
        <f>'Sales Data'!E224</f>
        <v>ED-IND-BT28W-35</v>
      </c>
      <c r="E225" s="52">
        <f>'Sales Data'!G224</f>
        <v>511</v>
      </c>
      <c r="F225" s="72">
        <f>'Sales Data'!H224</f>
        <v>23</v>
      </c>
      <c r="G225" s="73"/>
      <c r="H225" s="73">
        <f>(InvoiceDetails[[#This Row],[Qty]]*InvoiceDetails[[#This Row],[Unit price]])-InvoiceDetails[[#This Row],[Discount]]</f>
        <v>11753</v>
      </c>
    </row>
    <row r="226" spans="2:8" ht="34.049999999999997" customHeight="1" x14ac:dyDescent="0.3">
      <c r="B226" s="51" t="str">
        <f>'Sales Data'!C225</f>
        <v>INV-2308-223</v>
      </c>
      <c r="C226" s="31"/>
      <c r="D226" s="16" t="str">
        <f>'Sales Data'!E225</f>
        <v>PC-IND-ON44Z-20</v>
      </c>
      <c r="E226" s="52">
        <f>'Sales Data'!G225</f>
        <v>616</v>
      </c>
      <c r="F226" s="72">
        <f>'Sales Data'!H225</f>
        <v>29</v>
      </c>
      <c r="G226" s="73"/>
      <c r="H226" s="73">
        <f>(InvoiceDetails[[#This Row],[Qty]]*InvoiceDetails[[#This Row],[Unit price]])-InvoiceDetails[[#This Row],[Discount]]</f>
        <v>17864</v>
      </c>
    </row>
    <row r="227" spans="2:8" ht="34.049999999999997" customHeight="1" x14ac:dyDescent="0.3">
      <c r="B227" s="51" t="str">
        <f>'Sales Data'!C226</f>
        <v>INV-2308-224</v>
      </c>
      <c r="C227" s="31"/>
      <c r="D227" s="16" t="str">
        <f>'Sales Data'!E226</f>
        <v>ED-IND-OF48R-98</v>
      </c>
      <c r="E227" s="52">
        <f>'Sales Data'!G226</f>
        <v>507</v>
      </c>
      <c r="F227" s="72">
        <f>'Sales Data'!H226</f>
        <v>26</v>
      </c>
      <c r="G227" s="73"/>
      <c r="H227" s="73">
        <f>(InvoiceDetails[[#This Row],[Qty]]*InvoiceDetails[[#This Row],[Unit price]])-InvoiceDetails[[#This Row],[Discount]]</f>
        <v>13182</v>
      </c>
    </row>
    <row r="228" spans="2:8" ht="34.049999999999997" customHeight="1" x14ac:dyDescent="0.3">
      <c r="B228" s="51" t="str">
        <f>'Sales Data'!C227</f>
        <v>INV-2308-225</v>
      </c>
      <c r="C228" s="31"/>
      <c r="D228" s="16" t="str">
        <f>'Sales Data'!E227</f>
        <v>ED-IND-HW89F-44</v>
      </c>
      <c r="E228" s="52">
        <f>'Sales Data'!G227</f>
        <v>991</v>
      </c>
      <c r="F228" s="72">
        <f>'Sales Data'!H227</f>
        <v>23</v>
      </c>
      <c r="G228" s="73"/>
      <c r="H228" s="73">
        <f>(InvoiceDetails[[#This Row],[Qty]]*InvoiceDetails[[#This Row],[Unit price]])-InvoiceDetails[[#This Row],[Discount]]</f>
        <v>22793</v>
      </c>
    </row>
    <row r="229" spans="2:8" ht="34.049999999999997" customHeight="1" x14ac:dyDescent="0.3">
      <c r="B229" s="51" t="str">
        <f>'Sales Data'!C228</f>
        <v>INV-2308-226</v>
      </c>
      <c r="C229" s="31"/>
      <c r="D229" s="16" t="str">
        <f>'Sales Data'!E228</f>
        <v>ED-IND-ZU10S-06</v>
      </c>
      <c r="E229" s="52">
        <f>'Sales Data'!G228</f>
        <v>646</v>
      </c>
      <c r="F229" s="72">
        <f>'Sales Data'!H228</f>
        <v>30</v>
      </c>
      <c r="G229" s="73"/>
      <c r="H229" s="73">
        <f>(InvoiceDetails[[#This Row],[Qty]]*InvoiceDetails[[#This Row],[Unit price]])-InvoiceDetails[[#This Row],[Discount]]</f>
        <v>19380</v>
      </c>
    </row>
    <row r="230" spans="2:8" ht="34.049999999999997" customHeight="1" x14ac:dyDescent="0.3">
      <c r="B230" s="51" t="str">
        <f>'Sales Data'!C229</f>
        <v>INV-2308-227</v>
      </c>
      <c r="C230" s="31"/>
      <c r="D230" s="16" t="str">
        <f>'Sales Data'!E229</f>
        <v>ED-IND-GN77F-40</v>
      </c>
      <c r="E230" s="52">
        <f>'Sales Data'!G229</f>
        <v>889</v>
      </c>
      <c r="F230" s="72">
        <f>'Sales Data'!H229</f>
        <v>21</v>
      </c>
      <c r="G230" s="73"/>
      <c r="H230" s="73">
        <f>(InvoiceDetails[[#This Row],[Qty]]*InvoiceDetails[[#This Row],[Unit price]])-InvoiceDetails[[#This Row],[Discount]]</f>
        <v>18669</v>
      </c>
    </row>
    <row r="231" spans="2:8" ht="34.049999999999997" customHeight="1" x14ac:dyDescent="0.3">
      <c r="B231" s="51" t="str">
        <f>'Sales Data'!C230</f>
        <v>INV-2308-228</v>
      </c>
      <c r="C231" s="31"/>
      <c r="D231" s="16" t="str">
        <f>'Sales Data'!E230</f>
        <v>ED-IND-TD97U-39</v>
      </c>
      <c r="E231" s="52">
        <f>'Sales Data'!G230</f>
        <v>572</v>
      </c>
      <c r="F231" s="72">
        <f>'Sales Data'!H230</f>
        <v>23</v>
      </c>
      <c r="G231" s="73"/>
      <c r="H231" s="73">
        <f>(InvoiceDetails[[#This Row],[Qty]]*InvoiceDetails[[#This Row],[Unit price]])-InvoiceDetails[[#This Row],[Discount]]</f>
        <v>13156</v>
      </c>
    </row>
    <row r="232" spans="2:8" ht="34.049999999999997" customHeight="1" x14ac:dyDescent="0.3">
      <c r="B232" s="51" t="str">
        <f>'Sales Data'!C231</f>
        <v>INV-2308-229</v>
      </c>
      <c r="C232" s="31"/>
      <c r="D232" s="16" t="str">
        <f>'Sales Data'!E231</f>
        <v>ED-IND-XD69N-70</v>
      </c>
      <c r="E232" s="52">
        <f>'Sales Data'!G231</f>
        <v>862</v>
      </c>
      <c r="F232" s="72">
        <f>'Sales Data'!H231</f>
        <v>21</v>
      </c>
      <c r="G232" s="73"/>
      <c r="H232" s="73">
        <f>(InvoiceDetails[[#This Row],[Qty]]*InvoiceDetails[[#This Row],[Unit price]])-InvoiceDetails[[#This Row],[Discount]]</f>
        <v>18102</v>
      </c>
    </row>
    <row r="233" spans="2:8" ht="34.049999999999997" customHeight="1" x14ac:dyDescent="0.3">
      <c r="B233" s="51" t="str">
        <f>'Sales Data'!C232</f>
        <v>INV-2308-230</v>
      </c>
      <c r="C233" s="31"/>
      <c r="D233" s="16" t="str">
        <f>'Sales Data'!E232</f>
        <v>ED-IND-JG54J-82</v>
      </c>
      <c r="E233" s="52">
        <f>'Sales Data'!G232</f>
        <v>507</v>
      </c>
      <c r="F233" s="72">
        <f>'Sales Data'!H232</f>
        <v>31</v>
      </c>
      <c r="G233" s="73"/>
      <c r="H233" s="73">
        <f>(InvoiceDetails[[#This Row],[Qty]]*InvoiceDetails[[#This Row],[Unit price]])-InvoiceDetails[[#This Row],[Discount]]</f>
        <v>15717</v>
      </c>
    </row>
    <row r="234" spans="2:8" ht="34.049999999999997" customHeight="1" x14ac:dyDescent="0.3">
      <c r="B234" s="51" t="str">
        <f>'Sales Data'!C233</f>
        <v>INV-2308-231</v>
      </c>
      <c r="C234" s="31"/>
      <c r="D234" s="16" t="str">
        <f>'Sales Data'!E233</f>
        <v>ED-IND-ND36N-96</v>
      </c>
      <c r="E234" s="52">
        <f>'Sales Data'!G233</f>
        <v>853</v>
      </c>
      <c r="F234" s="72">
        <f>'Sales Data'!H233</f>
        <v>26</v>
      </c>
      <c r="G234" s="73"/>
      <c r="H234" s="73">
        <f>(InvoiceDetails[[#This Row],[Qty]]*InvoiceDetails[[#This Row],[Unit price]])-InvoiceDetails[[#This Row],[Discount]]</f>
        <v>22178</v>
      </c>
    </row>
    <row r="235" spans="2:8" ht="34.049999999999997" customHeight="1" x14ac:dyDescent="0.3">
      <c r="B235" s="51" t="str">
        <f>'Sales Data'!C234</f>
        <v>INV-2308-232</v>
      </c>
      <c r="C235" s="31"/>
      <c r="D235" s="16" t="str">
        <f>'Sales Data'!E234</f>
        <v>ED-IND-UC74O-23</v>
      </c>
      <c r="E235" s="52">
        <f>'Sales Data'!G234</f>
        <v>743</v>
      </c>
      <c r="F235" s="72">
        <f>'Sales Data'!H234</f>
        <v>25</v>
      </c>
      <c r="G235" s="73"/>
      <c r="H235" s="73">
        <f>(InvoiceDetails[[#This Row],[Qty]]*InvoiceDetails[[#This Row],[Unit price]])-InvoiceDetails[[#This Row],[Discount]]</f>
        <v>18575</v>
      </c>
    </row>
    <row r="236" spans="2:8" ht="34.049999999999997" customHeight="1" x14ac:dyDescent="0.3">
      <c r="B236" s="51" t="str">
        <f>'Sales Data'!C235</f>
        <v>INV-2308-233</v>
      </c>
      <c r="C236" s="31"/>
      <c r="D236" s="16" t="str">
        <f>'Sales Data'!E235</f>
        <v>ED-IND-FO35X-06</v>
      </c>
      <c r="E236" s="52">
        <f>'Sales Data'!G235</f>
        <v>701</v>
      </c>
      <c r="F236" s="72">
        <f>'Sales Data'!H235</f>
        <v>22</v>
      </c>
      <c r="G236" s="73"/>
      <c r="H236" s="73">
        <f>(InvoiceDetails[[#This Row],[Qty]]*InvoiceDetails[[#This Row],[Unit price]])-InvoiceDetails[[#This Row],[Discount]]</f>
        <v>15422</v>
      </c>
    </row>
    <row r="237" spans="2:8" ht="34.049999999999997" customHeight="1" x14ac:dyDescent="0.3">
      <c r="B237" s="51" t="str">
        <f>'Sales Data'!C236</f>
        <v>INV-2308-234</v>
      </c>
      <c r="C237" s="31"/>
      <c r="D237" s="16" t="str">
        <f>'Sales Data'!E236</f>
        <v>ED-IND-XV60W-87</v>
      </c>
      <c r="E237" s="52">
        <f>'Sales Data'!G236</f>
        <v>970</v>
      </c>
      <c r="F237" s="72">
        <f>'Sales Data'!H236</f>
        <v>26</v>
      </c>
      <c r="G237" s="73"/>
      <c r="H237" s="73">
        <f>(InvoiceDetails[[#This Row],[Qty]]*InvoiceDetails[[#This Row],[Unit price]])-InvoiceDetails[[#This Row],[Discount]]</f>
        <v>25220</v>
      </c>
    </row>
    <row r="238" spans="2:8" ht="34.049999999999997" customHeight="1" x14ac:dyDescent="0.3">
      <c r="B238" s="51" t="str">
        <f>'Sales Data'!C237</f>
        <v>INV-2308-235</v>
      </c>
      <c r="C238" s="31"/>
      <c r="D238" s="16" t="str">
        <f>'Sales Data'!E237</f>
        <v>ED-IND-FM90Y-16</v>
      </c>
      <c r="E238" s="52">
        <f>'Sales Data'!G237</f>
        <v>575</v>
      </c>
      <c r="F238" s="72">
        <f>'Sales Data'!H237</f>
        <v>28</v>
      </c>
      <c r="G238" s="73"/>
      <c r="H238" s="73">
        <f>(InvoiceDetails[[#This Row],[Qty]]*InvoiceDetails[[#This Row],[Unit price]])-InvoiceDetails[[#This Row],[Discount]]</f>
        <v>16100</v>
      </c>
    </row>
    <row r="239" spans="2:8" ht="34.049999999999997" customHeight="1" x14ac:dyDescent="0.3">
      <c r="B239" s="51" t="str">
        <f>'Sales Data'!C238</f>
        <v>INV-2308-236</v>
      </c>
      <c r="C239" s="31"/>
      <c r="D239" s="16" t="str">
        <f>'Sales Data'!E238</f>
        <v>ED-IND-JQ42J-50</v>
      </c>
      <c r="E239" s="52">
        <f>'Sales Data'!G238</f>
        <v>835</v>
      </c>
      <c r="F239" s="72">
        <f>'Sales Data'!H238</f>
        <v>23</v>
      </c>
      <c r="G239" s="73"/>
      <c r="H239" s="73">
        <f>(InvoiceDetails[[#This Row],[Qty]]*InvoiceDetails[[#This Row],[Unit price]])-InvoiceDetails[[#This Row],[Discount]]</f>
        <v>19205</v>
      </c>
    </row>
    <row r="240" spans="2:8" ht="34.049999999999997" customHeight="1" x14ac:dyDescent="0.3">
      <c r="B240" s="51" t="str">
        <f>'Sales Data'!C239</f>
        <v>INV-2308-237</v>
      </c>
      <c r="C240" s="31"/>
      <c r="D240" s="16" t="str">
        <f>'Sales Data'!E239</f>
        <v>ED-IND-DZ46J-31</v>
      </c>
      <c r="E240" s="52">
        <f>'Sales Data'!G239</f>
        <v>712</v>
      </c>
      <c r="F240" s="72">
        <f>'Sales Data'!H239</f>
        <v>31</v>
      </c>
      <c r="G240" s="73"/>
      <c r="H240" s="73">
        <f>(InvoiceDetails[[#This Row],[Qty]]*InvoiceDetails[[#This Row],[Unit price]])-InvoiceDetails[[#This Row],[Discount]]</f>
        <v>22072</v>
      </c>
    </row>
    <row r="241" spans="2:8" ht="34.049999999999997" customHeight="1" x14ac:dyDescent="0.3">
      <c r="B241" s="51" t="str">
        <f>'Sales Data'!C240</f>
        <v>INV-2308-238</v>
      </c>
      <c r="C241" s="31"/>
      <c r="D241" s="16" t="str">
        <f>'Sales Data'!E240</f>
        <v>ED-IND-TQ72U-99</v>
      </c>
      <c r="E241" s="52">
        <f>'Sales Data'!G240</f>
        <v>784</v>
      </c>
      <c r="F241" s="72">
        <f>'Sales Data'!H240</f>
        <v>31</v>
      </c>
      <c r="G241" s="73"/>
      <c r="H241" s="73">
        <f>(InvoiceDetails[[#This Row],[Qty]]*InvoiceDetails[[#This Row],[Unit price]])-InvoiceDetails[[#This Row],[Discount]]</f>
        <v>24304</v>
      </c>
    </row>
    <row r="242" spans="2:8" ht="34.049999999999997" customHeight="1" x14ac:dyDescent="0.3">
      <c r="B242" s="51" t="str">
        <f>'Sales Data'!C241</f>
        <v>INV-2308-239</v>
      </c>
      <c r="C242" s="31"/>
      <c r="D242" s="16" t="str">
        <f>'Sales Data'!E241</f>
        <v>PC-IND-ZT79Y-03</v>
      </c>
      <c r="E242" s="52">
        <f>'Sales Data'!G241</f>
        <v>940</v>
      </c>
      <c r="F242" s="72">
        <f>'Sales Data'!H241</f>
        <v>26</v>
      </c>
      <c r="G242" s="73"/>
      <c r="H242" s="73">
        <f>(InvoiceDetails[[#This Row],[Qty]]*InvoiceDetails[[#This Row],[Unit price]])-InvoiceDetails[[#This Row],[Discount]]</f>
        <v>24440</v>
      </c>
    </row>
    <row r="243" spans="2:8" ht="34.049999999999997" customHeight="1" x14ac:dyDescent="0.3">
      <c r="B243" s="51" t="str">
        <f>'Sales Data'!C242</f>
        <v>INV-2308-240</v>
      </c>
      <c r="C243" s="31"/>
      <c r="D243" s="16" t="str">
        <f>'Sales Data'!E242</f>
        <v>ED-IND-AT97L-47</v>
      </c>
      <c r="E243" s="52">
        <f>'Sales Data'!G242</f>
        <v>829</v>
      </c>
      <c r="F243" s="72">
        <f>'Sales Data'!H242</f>
        <v>26</v>
      </c>
      <c r="G243" s="73"/>
      <c r="H243" s="73">
        <f>(InvoiceDetails[[#This Row],[Qty]]*InvoiceDetails[[#This Row],[Unit price]])-InvoiceDetails[[#This Row],[Discount]]</f>
        <v>21554</v>
      </c>
    </row>
    <row r="244" spans="2:8" ht="34.049999999999997" customHeight="1" x14ac:dyDescent="0.3">
      <c r="B244" s="51" t="str">
        <f>'Sales Data'!C243</f>
        <v>INV-2309-241</v>
      </c>
      <c r="C244" s="31"/>
      <c r="D244" s="16" t="str">
        <f>'Sales Data'!E243</f>
        <v>ED-IND-PC13L-22</v>
      </c>
      <c r="E244" s="52">
        <f>'Sales Data'!G243</f>
        <v>438</v>
      </c>
      <c r="F244" s="72">
        <f>'Sales Data'!H243</f>
        <v>21</v>
      </c>
      <c r="G244" s="73"/>
      <c r="H244" s="73">
        <f>(InvoiceDetails[[#This Row],[Qty]]*InvoiceDetails[[#This Row],[Unit price]])-InvoiceDetails[[#This Row],[Discount]]</f>
        <v>9198</v>
      </c>
    </row>
    <row r="245" spans="2:8" ht="34.049999999999997" customHeight="1" x14ac:dyDescent="0.3">
      <c r="B245" s="51" t="str">
        <f>'Sales Data'!C244</f>
        <v>INV-2309-242</v>
      </c>
      <c r="C245" s="31"/>
      <c r="D245" s="16" t="str">
        <f>'Sales Data'!E244</f>
        <v>ED-IND-KL69J-45</v>
      </c>
      <c r="E245" s="52">
        <f>'Sales Data'!G244</f>
        <v>468</v>
      </c>
      <c r="F245" s="72">
        <f>'Sales Data'!H244</f>
        <v>25</v>
      </c>
      <c r="G245" s="73"/>
      <c r="H245" s="73">
        <f>(InvoiceDetails[[#This Row],[Qty]]*InvoiceDetails[[#This Row],[Unit price]])-InvoiceDetails[[#This Row],[Discount]]</f>
        <v>11700</v>
      </c>
    </row>
    <row r="246" spans="2:8" ht="34.049999999999997" customHeight="1" x14ac:dyDescent="0.3">
      <c r="B246" s="51" t="str">
        <f>'Sales Data'!C245</f>
        <v>INV-2309-243</v>
      </c>
      <c r="C246" s="31"/>
      <c r="D246" s="16" t="str">
        <f>'Sales Data'!E245</f>
        <v>PC-IND-AD18N-05</v>
      </c>
      <c r="E246" s="52">
        <f>'Sales Data'!G245</f>
        <v>323</v>
      </c>
      <c r="F246" s="72">
        <f>'Sales Data'!H245</f>
        <v>28</v>
      </c>
      <c r="G246" s="73"/>
      <c r="H246" s="73">
        <f>(InvoiceDetails[[#This Row],[Qty]]*InvoiceDetails[[#This Row],[Unit price]])-InvoiceDetails[[#This Row],[Discount]]</f>
        <v>9044</v>
      </c>
    </row>
    <row r="247" spans="2:8" ht="34.049999999999997" customHeight="1" x14ac:dyDescent="0.3">
      <c r="B247" s="51" t="str">
        <f>'Sales Data'!C246</f>
        <v>INV-2309-244</v>
      </c>
      <c r="C247" s="31"/>
      <c r="D247" s="16" t="str">
        <f>'Sales Data'!E246</f>
        <v>PC-IND-QB21C-21</v>
      </c>
      <c r="E247" s="52">
        <f>'Sales Data'!G246</f>
        <v>439</v>
      </c>
      <c r="F247" s="72">
        <f>'Sales Data'!H246</f>
        <v>27</v>
      </c>
      <c r="G247" s="73"/>
      <c r="H247" s="73">
        <f>(InvoiceDetails[[#This Row],[Qty]]*InvoiceDetails[[#This Row],[Unit price]])-InvoiceDetails[[#This Row],[Discount]]</f>
        <v>11853</v>
      </c>
    </row>
    <row r="248" spans="2:8" ht="34.049999999999997" customHeight="1" x14ac:dyDescent="0.3">
      <c r="B248" s="51" t="str">
        <f>'Sales Data'!C247</f>
        <v>INV-2309-245</v>
      </c>
      <c r="C248" s="31"/>
      <c r="D248" s="16" t="str">
        <f>'Sales Data'!E247</f>
        <v>ED-IND-KL45I-89</v>
      </c>
      <c r="E248" s="52">
        <f>'Sales Data'!G247</f>
        <v>349</v>
      </c>
      <c r="F248" s="72">
        <f>'Sales Data'!H247</f>
        <v>27</v>
      </c>
      <c r="G248" s="73"/>
      <c r="H248" s="73">
        <f>(InvoiceDetails[[#This Row],[Qty]]*InvoiceDetails[[#This Row],[Unit price]])-InvoiceDetails[[#This Row],[Discount]]</f>
        <v>9423</v>
      </c>
    </row>
    <row r="249" spans="2:8" ht="34.049999999999997" customHeight="1" x14ac:dyDescent="0.3">
      <c r="B249" s="51" t="str">
        <f>'Sales Data'!C248</f>
        <v>INV-2309-246</v>
      </c>
      <c r="C249" s="31"/>
      <c r="D249" s="16" t="str">
        <f>'Sales Data'!E248</f>
        <v>ED-IND-OP33V-15</v>
      </c>
      <c r="E249" s="52">
        <f>'Sales Data'!G248</f>
        <v>268</v>
      </c>
      <c r="F249" s="72">
        <f>'Sales Data'!H248</f>
        <v>21</v>
      </c>
      <c r="G249" s="73"/>
      <c r="H249" s="73">
        <f>(InvoiceDetails[[#This Row],[Qty]]*InvoiceDetails[[#This Row],[Unit price]])-InvoiceDetails[[#This Row],[Discount]]</f>
        <v>5628</v>
      </c>
    </row>
    <row r="250" spans="2:8" ht="34.049999999999997" customHeight="1" x14ac:dyDescent="0.3">
      <c r="B250" s="51" t="str">
        <f>'Sales Data'!C249</f>
        <v>INV-2309-247</v>
      </c>
      <c r="C250" s="31"/>
      <c r="D250" s="16" t="str">
        <f>'Sales Data'!E249</f>
        <v>PC-IND-QG82K-57</v>
      </c>
      <c r="E250" s="52">
        <f>'Sales Data'!G249</f>
        <v>437</v>
      </c>
      <c r="F250" s="72">
        <f>'Sales Data'!H249</f>
        <v>29</v>
      </c>
      <c r="G250" s="73"/>
      <c r="H250" s="73">
        <f>(InvoiceDetails[[#This Row],[Qty]]*InvoiceDetails[[#This Row],[Unit price]])-InvoiceDetails[[#This Row],[Discount]]</f>
        <v>12673</v>
      </c>
    </row>
    <row r="251" spans="2:8" ht="34.049999999999997" customHeight="1" x14ac:dyDescent="0.3">
      <c r="B251" s="51" t="str">
        <f>'Sales Data'!C250</f>
        <v>INV-2309-248</v>
      </c>
      <c r="C251" s="31"/>
      <c r="D251" s="16" t="str">
        <f>'Sales Data'!E250</f>
        <v>ED-IND-FC50T-31</v>
      </c>
      <c r="E251" s="52">
        <f>'Sales Data'!G250</f>
        <v>403</v>
      </c>
      <c r="F251" s="72">
        <f>'Sales Data'!H250</f>
        <v>29</v>
      </c>
      <c r="G251" s="73"/>
      <c r="H251" s="73">
        <f>(InvoiceDetails[[#This Row],[Qty]]*InvoiceDetails[[#This Row],[Unit price]])-InvoiceDetails[[#This Row],[Discount]]</f>
        <v>11687</v>
      </c>
    </row>
    <row r="252" spans="2:8" ht="34.049999999999997" customHeight="1" x14ac:dyDescent="0.3">
      <c r="B252" s="51" t="str">
        <f>'Sales Data'!C251</f>
        <v>INV-2309-249</v>
      </c>
      <c r="C252" s="31"/>
      <c r="D252" s="16" t="str">
        <f>'Sales Data'!E251</f>
        <v>ED-IND-JJ75G-76</v>
      </c>
      <c r="E252" s="52">
        <f>'Sales Data'!G251</f>
        <v>283</v>
      </c>
      <c r="F252" s="72">
        <f>'Sales Data'!H251</f>
        <v>24</v>
      </c>
      <c r="G252" s="73"/>
      <c r="H252" s="73">
        <f>(InvoiceDetails[[#This Row],[Qty]]*InvoiceDetails[[#This Row],[Unit price]])-InvoiceDetails[[#This Row],[Discount]]</f>
        <v>6792</v>
      </c>
    </row>
    <row r="253" spans="2:8" ht="34.049999999999997" customHeight="1" x14ac:dyDescent="0.3">
      <c r="B253" s="51" t="str">
        <f>'Sales Data'!C252</f>
        <v>INV-2309-250</v>
      </c>
      <c r="C253" s="31"/>
      <c r="D253" s="16" t="str">
        <f>'Sales Data'!E252</f>
        <v>ED-IND-PZ78T-53</v>
      </c>
      <c r="E253" s="52">
        <f>'Sales Data'!G252</f>
        <v>396</v>
      </c>
      <c r="F253" s="72">
        <f>'Sales Data'!H252</f>
        <v>28</v>
      </c>
      <c r="G253" s="73"/>
      <c r="H253" s="73">
        <f>(InvoiceDetails[[#This Row],[Qty]]*InvoiceDetails[[#This Row],[Unit price]])-InvoiceDetails[[#This Row],[Discount]]</f>
        <v>11088</v>
      </c>
    </row>
    <row r="254" spans="2:8" ht="34.049999999999997" customHeight="1" x14ac:dyDescent="0.3">
      <c r="B254" s="51" t="str">
        <f>'Sales Data'!C253</f>
        <v>INV-2309-251</v>
      </c>
      <c r="C254" s="31"/>
      <c r="D254" s="16" t="str">
        <f>'Sales Data'!E253</f>
        <v>ED-IND-VW20N-30</v>
      </c>
      <c r="E254" s="52">
        <f>'Sales Data'!G253</f>
        <v>333</v>
      </c>
      <c r="F254" s="72">
        <f>'Sales Data'!H253</f>
        <v>27</v>
      </c>
      <c r="G254" s="73"/>
      <c r="H254" s="73">
        <f>(InvoiceDetails[[#This Row],[Qty]]*InvoiceDetails[[#This Row],[Unit price]])-InvoiceDetails[[#This Row],[Discount]]</f>
        <v>8991</v>
      </c>
    </row>
    <row r="255" spans="2:8" ht="34.049999999999997" customHeight="1" x14ac:dyDescent="0.3">
      <c r="B255" s="51" t="str">
        <f>'Sales Data'!C254</f>
        <v>INV-2309-252</v>
      </c>
      <c r="C255" s="31"/>
      <c r="D255" s="16" t="str">
        <f>'Sales Data'!E254</f>
        <v>ED-IND-ZM31I-59</v>
      </c>
      <c r="E255" s="52">
        <f>'Sales Data'!G254</f>
        <v>349</v>
      </c>
      <c r="F255" s="72">
        <f>'Sales Data'!H254</f>
        <v>29</v>
      </c>
      <c r="G255" s="73"/>
      <c r="H255" s="73">
        <f>(InvoiceDetails[[#This Row],[Qty]]*InvoiceDetails[[#This Row],[Unit price]])-InvoiceDetails[[#This Row],[Discount]]</f>
        <v>10121</v>
      </c>
    </row>
    <row r="256" spans="2:8" ht="34.049999999999997" customHeight="1" x14ac:dyDescent="0.3">
      <c r="B256" s="51" t="str">
        <f>'Sales Data'!C255</f>
        <v>INV-2309-253</v>
      </c>
      <c r="C256" s="31"/>
      <c r="D256" s="16" t="str">
        <f>'Sales Data'!E255</f>
        <v>ED-IND-UA22X-74</v>
      </c>
      <c r="E256" s="52">
        <f>'Sales Data'!G255</f>
        <v>291</v>
      </c>
      <c r="F256" s="72">
        <f>'Sales Data'!H255</f>
        <v>30</v>
      </c>
      <c r="G256" s="73"/>
      <c r="H256" s="73">
        <f>(InvoiceDetails[[#This Row],[Qty]]*InvoiceDetails[[#This Row],[Unit price]])-InvoiceDetails[[#This Row],[Discount]]</f>
        <v>8730</v>
      </c>
    </row>
    <row r="257" spans="2:8" ht="34.049999999999997" customHeight="1" x14ac:dyDescent="0.3">
      <c r="B257" s="51" t="str">
        <f>'Sales Data'!C256</f>
        <v>INV-2309-254</v>
      </c>
      <c r="C257" s="31"/>
      <c r="D257" s="16" t="str">
        <f>'Sales Data'!E256</f>
        <v>PC-IND-KY87L-07</v>
      </c>
      <c r="E257" s="52">
        <f>'Sales Data'!G256</f>
        <v>446</v>
      </c>
      <c r="F257" s="72">
        <f>'Sales Data'!H256</f>
        <v>29</v>
      </c>
      <c r="G257" s="73"/>
      <c r="H257" s="73">
        <f>(InvoiceDetails[[#This Row],[Qty]]*InvoiceDetails[[#This Row],[Unit price]])-InvoiceDetails[[#This Row],[Discount]]</f>
        <v>12934</v>
      </c>
    </row>
    <row r="258" spans="2:8" ht="34.049999999999997" customHeight="1" x14ac:dyDescent="0.3">
      <c r="B258" s="51" t="str">
        <f>'Sales Data'!C257</f>
        <v>INV-2309-255</v>
      </c>
      <c r="C258" s="31"/>
      <c r="D258" s="16" t="str">
        <f>'Sales Data'!E257</f>
        <v>ED-IND-RM89D-52</v>
      </c>
      <c r="E258" s="52">
        <f>'Sales Data'!G257</f>
        <v>344</v>
      </c>
      <c r="F258" s="72">
        <f>'Sales Data'!H257</f>
        <v>28</v>
      </c>
      <c r="G258" s="73"/>
      <c r="H258" s="73">
        <f>(InvoiceDetails[[#This Row],[Qty]]*InvoiceDetails[[#This Row],[Unit price]])-InvoiceDetails[[#This Row],[Discount]]</f>
        <v>9632</v>
      </c>
    </row>
    <row r="259" spans="2:8" ht="34.049999999999997" customHeight="1" x14ac:dyDescent="0.3">
      <c r="B259" s="51" t="str">
        <f>'Sales Data'!C258</f>
        <v>INV-2309-256</v>
      </c>
      <c r="C259" s="31"/>
      <c r="D259" s="16" t="str">
        <f>'Sales Data'!E258</f>
        <v>ED-IND-KH95O-32</v>
      </c>
      <c r="E259" s="52">
        <f>'Sales Data'!G258</f>
        <v>335</v>
      </c>
      <c r="F259" s="72">
        <f>'Sales Data'!H258</f>
        <v>31</v>
      </c>
      <c r="G259" s="73"/>
      <c r="H259" s="73">
        <f>(InvoiceDetails[[#This Row],[Qty]]*InvoiceDetails[[#This Row],[Unit price]])-InvoiceDetails[[#This Row],[Discount]]</f>
        <v>10385</v>
      </c>
    </row>
    <row r="260" spans="2:8" ht="34.049999999999997" customHeight="1" x14ac:dyDescent="0.3">
      <c r="B260" s="51" t="str">
        <f>'Sales Data'!C259</f>
        <v>INV-2309-257</v>
      </c>
      <c r="C260" s="31"/>
      <c r="D260" s="16" t="str">
        <f>'Sales Data'!E259</f>
        <v>PC-IND-JD80O-86</v>
      </c>
      <c r="E260" s="52">
        <f>'Sales Data'!G259</f>
        <v>436</v>
      </c>
      <c r="F260" s="72">
        <f>'Sales Data'!H259</f>
        <v>22</v>
      </c>
      <c r="G260" s="73"/>
      <c r="H260" s="73">
        <f>(InvoiceDetails[[#This Row],[Qty]]*InvoiceDetails[[#This Row],[Unit price]])-InvoiceDetails[[#This Row],[Discount]]</f>
        <v>9592</v>
      </c>
    </row>
    <row r="261" spans="2:8" ht="34.049999999999997" customHeight="1" x14ac:dyDescent="0.3">
      <c r="B261" s="51" t="str">
        <f>'Sales Data'!C260</f>
        <v>INV-2309-258</v>
      </c>
      <c r="C261" s="31"/>
      <c r="D261" s="16" t="str">
        <f>'Sales Data'!E260</f>
        <v>PC-IND-GO71A-01</v>
      </c>
      <c r="E261" s="52">
        <f>'Sales Data'!G260</f>
        <v>321</v>
      </c>
      <c r="F261" s="72">
        <f>'Sales Data'!H260</f>
        <v>31</v>
      </c>
      <c r="G261" s="73"/>
      <c r="H261" s="73">
        <f>(InvoiceDetails[[#This Row],[Qty]]*InvoiceDetails[[#This Row],[Unit price]])-InvoiceDetails[[#This Row],[Discount]]</f>
        <v>9951</v>
      </c>
    </row>
    <row r="262" spans="2:8" ht="34.049999999999997" customHeight="1" x14ac:dyDescent="0.3">
      <c r="B262" s="51" t="str">
        <f>'Sales Data'!C261</f>
        <v>INV-2309-259</v>
      </c>
      <c r="C262" s="31"/>
      <c r="D262" s="16" t="str">
        <f>'Sales Data'!E261</f>
        <v>ED-IND-KE55U-98</v>
      </c>
      <c r="E262" s="52">
        <f>'Sales Data'!G261</f>
        <v>507</v>
      </c>
      <c r="F262" s="72">
        <f>'Sales Data'!H261</f>
        <v>21</v>
      </c>
      <c r="G262" s="73"/>
      <c r="H262" s="73">
        <f>(InvoiceDetails[[#This Row],[Qty]]*InvoiceDetails[[#This Row],[Unit price]])-InvoiceDetails[[#This Row],[Discount]]</f>
        <v>10647</v>
      </c>
    </row>
    <row r="263" spans="2:8" ht="34.049999999999997" customHeight="1" x14ac:dyDescent="0.3">
      <c r="B263" s="51" t="str">
        <f>'Sales Data'!C262</f>
        <v>INV-2309-260</v>
      </c>
      <c r="C263" s="31"/>
      <c r="D263" s="16" t="str">
        <f>'Sales Data'!E262</f>
        <v>PC-IND-EO59B-07</v>
      </c>
      <c r="E263" s="52">
        <f>'Sales Data'!G262</f>
        <v>364</v>
      </c>
      <c r="F263" s="72">
        <f>'Sales Data'!H262</f>
        <v>30</v>
      </c>
      <c r="G263" s="73"/>
      <c r="H263" s="73">
        <f>(InvoiceDetails[[#This Row],[Qty]]*InvoiceDetails[[#This Row],[Unit price]])-InvoiceDetails[[#This Row],[Discount]]</f>
        <v>10920</v>
      </c>
    </row>
    <row r="264" spans="2:8" ht="34.049999999999997" customHeight="1" x14ac:dyDescent="0.3">
      <c r="B264" s="51" t="str">
        <f>'Sales Data'!C263</f>
        <v>INV-2309-261</v>
      </c>
      <c r="C264" s="31"/>
      <c r="D264" s="16" t="str">
        <f>'Sales Data'!E263</f>
        <v>ED-IND-SE20G-38</v>
      </c>
      <c r="E264" s="52">
        <f>'Sales Data'!G263</f>
        <v>418</v>
      </c>
      <c r="F264" s="72">
        <f>'Sales Data'!H263</f>
        <v>29</v>
      </c>
      <c r="G264" s="73"/>
      <c r="H264" s="73">
        <f>(InvoiceDetails[[#This Row],[Qty]]*InvoiceDetails[[#This Row],[Unit price]])-InvoiceDetails[[#This Row],[Discount]]</f>
        <v>12122</v>
      </c>
    </row>
    <row r="265" spans="2:8" ht="34.049999999999997" customHeight="1" x14ac:dyDescent="0.3">
      <c r="B265" s="51" t="str">
        <f>'Sales Data'!C264</f>
        <v>INV-2309-262</v>
      </c>
      <c r="C265" s="31"/>
      <c r="D265" s="16" t="str">
        <f>'Sales Data'!E264</f>
        <v>ED-IND-XX51X-37</v>
      </c>
      <c r="E265" s="52">
        <f>'Sales Data'!G264</f>
        <v>288</v>
      </c>
      <c r="F265" s="72">
        <f>'Sales Data'!H264</f>
        <v>25</v>
      </c>
      <c r="G265" s="73"/>
      <c r="H265" s="73">
        <f>(InvoiceDetails[[#This Row],[Qty]]*InvoiceDetails[[#This Row],[Unit price]])-InvoiceDetails[[#This Row],[Discount]]</f>
        <v>7200</v>
      </c>
    </row>
    <row r="266" spans="2:8" ht="34.049999999999997" customHeight="1" x14ac:dyDescent="0.3">
      <c r="B266" s="51" t="str">
        <f>'Sales Data'!C265</f>
        <v>INV-2309-263</v>
      </c>
      <c r="C266" s="31"/>
      <c r="D266" s="16" t="str">
        <f>'Sales Data'!E265</f>
        <v>ED-IND-KH38D-10</v>
      </c>
      <c r="E266" s="52">
        <f>'Sales Data'!G265</f>
        <v>412</v>
      </c>
      <c r="F266" s="72">
        <f>'Sales Data'!H265</f>
        <v>21</v>
      </c>
      <c r="G266" s="73"/>
      <c r="H266" s="73">
        <f>(InvoiceDetails[[#This Row],[Qty]]*InvoiceDetails[[#This Row],[Unit price]])-InvoiceDetails[[#This Row],[Discount]]</f>
        <v>8652</v>
      </c>
    </row>
    <row r="267" spans="2:8" ht="34.049999999999997" customHeight="1" x14ac:dyDescent="0.3">
      <c r="B267" s="51" t="str">
        <f>'Sales Data'!C266</f>
        <v>INV-2309-264</v>
      </c>
      <c r="C267" s="31"/>
      <c r="D267" s="16" t="str">
        <f>'Sales Data'!E266</f>
        <v>ED-IND-BW38A-23</v>
      </c>
      <c r="E267" s="52">
        <f>'Sales Data'!G266</f>
        <v>346</v>
      </c>
      <c r="F267" s="72">
        <f>'Sales Data'!H266</f>
        <v>21</v>
      </c>
      <c r="G267" s="73"/>
      <c r="H267" s="73">
        <f>(InvoiceDetails[[#This Row],[Qty]]*InvoiceDetails[[#This Row],[Unit price]])-InvoiceDetails[[#This Row],[Discount]]</f>
        <v>7266</v>
      </c>
    </row>
    <row r="268" spans="2:8" ht="34.049999999999997" customHeight="1" x14ac:dyDescent="0.3">
      <c r="B268" s="51" t="str">
        <f>'Sales Data'!C267</f>
        <v>INV-2309-265</v>
      </c>
      <c r="C268" s="31"/>
      <c r="D268" s="16" t="str">
        <f>'Sales Data'!E267</f>
        <v>PC-IND-BH90B-07</v>
      </c>
      <c r="E268" s="52">
        <f>'Sales Data'!G267</f>
        <v>273</v>
      </c>
      <c r="F268" s="72">
        <f>'Sales Data'!H267</f>
        <v>21</v>
      </c>
      <c r="G268" s="73"/>
      <c r="H268" s="73">
        <f>(InvoiceDetails[[#This Row],[Qty]]*InvoiceDetails[[#This Row],[Unit price]])-InvoiceDetails[[#This Row],[Discount]]</f>
        <v>5733</v>
      </c>
    </row>
    <row r="269" spans="2:8" ht="34.049999999999997" customHeight="1" x14ac:dyDescent="0.3">
      <c r="B269" s="51" t="str">
        <f>'Sales Data'!C268</f>
        <v>INV-2309-266</v>
      </c>
      <c r="C269" s="31"/>
      <c r="D269" s="16" t="str">
        <f>'Sales Data'!E268</f>
        <v>ED-IND-KC67S-50</v>
      </c>
      <c r="E269" s="52">
        <f>'Sales Data'!G268</f>
        <v>472</v>
      </c>
      <c r="F269" s="72">
        <f>'Sales Data'!H268</f>
        <v>25</v>
      </c>
      <c r="G269" s="73"/>
      <c r="H269" s="73">
        <f>(InvoiceDetails[[#This Row],[Qty]]*InvoiceDetails[[#This Row],[Unit price]])-InvoiceDetails[[#This Row],[Discount]]</f>
        <v>11800</v>
      </c>
    </row>
    <row r="270" spans="2:8" ht="34.049999999999997" customHeight="1" x14ac:dyDescent="0.3">
      <c r="B270" s="51" t="str">
        <f>'Sales Data'!C269</f>
        <v>INV-2309-267</v>
      </c>
      <c r="C270" s="31"/>
      <c r="D270" s="16" t="str">
        <f>'Sales Data'!E269</f>
        <v>PC-IND-CF23H-34</v>
      </c>
      <c r="E270" s="52">
        <f>'Sales Data'!G269</f>
        <v>304</v>
      </c>
      <c r="F270" s="72">
        <f>'Sales Data'!H269</f>
        <v>21</v>
      </c>
      <c r="G270" s="73"/>
      <c r="H270" s="73">
        <f>(InvoiceDetails[[#This Row],[Qty]]*InvoiceDetails[[#This Row],[Unit price]])-InvoiceDetails[[#This Row],[Discount]]</f>
        <v>6384</v>
      </c>
    </row>
    <row r="271" spans="2:8" ht="34.049999999999997" customHeight="1" x14ac:dyDescent="0.3">
      <c r="B271" s="51" t="str">
        <f>'Sales Data'!C270</f>
        <v>INV-2309-268</v>
      </c>
      <c r="C271" s="31"/>
      <c r="D271" s="16" t="str">
        <f>'Sales Data'!E270</f>
        <v>PC-IND-ZU91Z-29</v>
      </c>
      <c r="E271" s="52">
        <f>'Sales Data'!G270</f>
        <v>472</v>
      </c>
      <c r="F271" s="72">
        <f>'Sales Data'!H270</f>
        <v>22</v>
      </c>
      <c r="G271" s="73"/>
      <c r="H271" s="73">
        <f>(InvoiceDetails[[#This Row],[Qty]]*InvoiceDetails[[#This Row],[Unit price]])-InvoiceDetails[[#This Row],[Discount]]</f>
        <v>10384</v>
      </c>
    </row>
    <row r="272" spans="2:8" ht="34.049999999999997" customHeight="1" x14ac:dyDescent="0.3">
      <c r="B272" s="51" t="str">
        <f>'Sales Data'!C271</f>
        <v>INV-2309-269</v>
      </c>
      <c r="C272" s="31"/>
      <c r="D272" s="16" t="str">
        <f>'Sales Data'!E271</f>
        <v>ED-IND-TX35U-55</v>
      </c>
      <c r="E272" s="52">
        <f>'Sales Data'!G271</f>
        <v>327</v>
      </c>
      <c r="F272" s="72">
        <f>'Sales Data'!H271</f>
        <v>24</v>
      </c>
      <c r="G272" s="73"/>
      <c r="H272" s="73">
        <f>(InvoiceDetails[[#This Row],[Qty]]*InvoiceDetails[[#This Row],[Unit price]])-InvoiceDetails[[#This Row],[Discount]]</f>
        <v>7848</v>
      </c>
    </row>
    <row r="273" spans="2:8" ht="34.049999999999997" customHeight="1" x14ac:dyDescent="0.3">
      <c r="B273" s="51" t="str">
        <f>'Sales Data'!C272</f>
        <v>INV-2309-270</v>
      </c>
      <c r="C273" s="31"/>
      <c r="D273" s="16" t="str">
        <f>'Sales Data'!E272</f>
        <v>ED-IND-BU16I-11</v>
      </c>
      <c r="E273" s="52">
        <f>'Sales Data'!G272</f>
        <v>339</v>
      </c>
      <c r="F273" s="72">
        <f>'Sales Data'!H272</f>
        <v>27</v>
      </c>
      <c r="G273" s="73"/>
      <c r="H273" s="73">
        <f>(InvoiceDetails[[#This Row],[Qty]]*InvoiceDetails[[#This Row],[Unit price]])-InvoiceDetails[[#This Row],[Discount]]</f>
        <v>9153</v>
      </c>
    </row>
    <row r="274" spans="2:8" ht="34.049999999999997" customHeight="1" x14ac:dyDescent="0.3">
      <c r="B274" s="51" t="str">
        <f>'Sales Data'!C273</f>
        <v>INV-2310-271</v>
      </c>
      <c r="C274" s="31"/>
      <c r="D274" s="16" t="str">
        <f>'Sales Data'!E273</f>
        <v>ED-IND-RH90N-16</v>
      </c>
      <c r="E274" s="52">
        <f>'Sales Data'!G273</f>
        <v>476</v>
      </c>
      <c r="F274" s="72">
        <f>'Sales Data'!H273</f>
        <v>27</v>
      </c>
      <c r="G274" s="73"/>
      <c r="H274" s="73">
        <f>(InvoiceDetails[[#This Row],[Qty]]*InvoiceDetails[[#This Row],[Unit price]])-InvoiceDetails[[#This Row],[Discount]]</f>
        <v>12852</v>
      </c>
    </row>
    <row r="275" spans="2:8" ht="34.049999999999997" customHeight="1" x14ac:dyDescent="0.3">
      <c r="B275" s="51" t="str">
        <f>'Sales Data'!C274</f>
        <v>INV-2310-272</v>
      </c>
      <c r="C275" s="31"/>
      <c r="D275" s="16" t="str">
        <f>'Sales Data'!E274</f>
        <v>ED-IND-UY66U-75</v>
      </c>
      <c r="E275" s="52">
        <f>'Sales Data'!G274</f>
        <v>428</v>
      </c>
      <c r="F275" s="72">
        <f>'Sales Data'!H274</f>
        <v>29</v>
      </c>
      <c r="G275" s="73"/>
      <c r="H275" s="73">
        <f>(InvoiceDetails[[#This Row],[Qty]]*InvoiceDetails[[#This Row],[Unit price]])-InvoiceDetails[[#This Row],[Discount]]</f>
        <v>12412</v>
      </c>
    </row>
    <row r="276" spans="2:8" ht="34.049999999999997" customHeight="1" x14ac:dyDescent="0.3">
      <c r="B276" s="51" t="str">
        <f>'Sales Data'!C275</f>
        <v>INV-2310-273</v>
      </c>
      <c r="C276" s="31"/>
      <c r="D276" s="16" t="str">
        <f>'Sales Data'!E275</f>
        <v>PC-IND-FK86J-42</v>
      </c>
      <c r="E276" s="52">
        <f>'Sales Data'!G275</f>
        <v>299</v>
      </c>
      <c r="F276" s="72">
        <f>'Sales Data'!H275</f>
        <v>31</v>
      </c>
      <c r="G276" s="73"/>
      <c r="H276" s="73">
        <f>(InvoiceDetails[[#This Row],[Qty]]*InvoiceDetails[[#This Row],[Unit price]])-InvoiceDetails[[#This Row],[Discount]]</f>
        <v>9269</v>
      </c>
    </row>
    <row r="277" spans="2:8" ht="34.049999999999997" customHeight="1" x14ac:dyDescent="0.3">
      <c r="B277" s="51" t="str">
        <f>'Sales Data'!C276</f>
        <v>INV-2310-274</v>
      </c>
      <c r="C277" s="31"/>
      <c r="D277" s="16" t="str">
        <f>'Sales Data'!E276</f>
        <v>ED-IND-OE79N-66</v>
      </c>
      <c r="E277" s="52">
        <f>'Sales Data'!G276</f>
        <v>351</v>
      </c>
      <c r="F277" s="72">
        <f>'Sales Data'!H276</f>
        <v>31</v>
      </c>
      <c r="G277" s="73"/>
      <c r="H277" s="73">
        <f>(InvoiceDetails[[#This Row],[Qty]]*InvoiceDetails[[#This Row],[Unit price]])-InvoiceDetails[[#This Row],[Discount]]</f>
        <v>10881</v>
      </c>
    </row>
    <row r="278" spans="2:8" ht="34.049999999999997" customHeight="1" x14ac:dyDescent="0.3">
      <c r="B278" s="51" t="str">
        <f>'Sales Data'!C277</f>
        <v>INV-2310-275</v>
      </c>
      <c r="C278" s="31"/>
      <c r="D278" s="16" t="str">
        <f>'Sales Data'!E277</f>
        <v>PC-IND-RK14B-33</v>
      </c>
      <c r="E278" s="52">
        <f>'Sales Data'!G277</f>
        <v>491</v>
      </c>
      <c r="F278" s="72">
        <f>'Sales Data'!H277</f>
        <v>27</v>
      </c>
      <c r="G278" s="73"/>
      <c r="H278" s="73">
        <f>(InvoiceDetails[[#This Row],[Qty]]*InvoiceDetails[[#This Row],[Unit price]])-InvoiceDetails[[#This Row],[Discount]]</f>
        <v>13257</v>
      </c>
    </row>
    <row r="279" spans="2:8" ht="34.049999999999997" customHeight="1" x14ac:dyDescent="0.3">
      <c r="B279" s="51" t="str">
        <f>'Sales Data'!C278</f>
        <v>INV-2310-276</v>
      </c>
      <c r="C279" s="31"/>
      <c r="D279" s="16" t="str">
        <f>'Sales Data'!E278</f>
        <v>ED-IND-VV69R-22</v>
      </c>
      <c r="E279" s="52">
        <f>'Sales Data'!G278</f>
        <v>320</v>
      </c>
      <c r="F279" s="72">
        <f>'Sales Data'!H278</f>
        <v>22</v>
      </c>
      <c r="G279" s="73"/>
      <c r="H279" s="73">
        <f>(InvoiceDetails[[#This Row],[Qty]]*InvoiceDetails[[#This Row],[Unit price]])-InvoiceDetails[[#This Row],[Discount]]</f>
        <v>7040</v>
      </c>
    </row>
    <row r="280" spans="2:8" ht="34.049999999999997" customHeight="1" x14ac:dyDescent="0.3">
      <c r="B280" s="51" t="str">
        <f>'Sales Data'!C279</f>
        <v>INV-2310-277</v>
      </c>
      <c r="C280" s="31"/>
      <c r="D280" s="16" t="str">
        <f>'Sales Data'!E279</f>
        <v>PC-IND-VL90Y-45</v>
      </c>
      <c r="E280" s="52">
        <f>'Sales Data'!G279</f>
        <v>313</v>
      </c>
      <c r="F280" s="72">
        <f>'Sales Data'!H279</f>
        <v>22</v>
      </c>
      <c r="G280" s="73"/>
      <c r="H280" s="73">
        <f>(InvoiceDetails[[#This Row],[Qty]]*InvoiceDetails[[#This Row],[Unit price]])-InvoiceDetails[[#This Row],[Discount]]</f>
        <v>6886</v>
      </c>
    </row>
    <row r="281" spans="2:8" ht="34.049999999999997" customHeight="1" x14ac:dyDescent="0.3">
      <c r="B281" s="51" t="str">
        <f>'Sales Data'!C280</f>
        <v>INV-2310-278</v>
      </c>
      <c r="C281" s="31"/>
      <c r="D281" s="16" t="str">
        <f>'Sales Data'!E280</f>
        <v>ED-IND-KY84S-06</v>
      </c>
      <c r="E281" s="52">
        <f>'Sales Data'!G280</f>
        <v>433</v>
      </c>
      <c r="F281" s="72">
        <f>'Sales Data'!H280</f>
        <v>22</v>
      </c>
      <c r="G281" s="73"/>
      <c r="H281" s="73">
        <f>(InvoiceDetails[[#This Row],[Qty]]*InvoiceDetails[[#This Row],[Unit price]])-InvoiceDetails[[#This Row],[Discount]]</f>
        <v>9526</v>
      </c>
    </row>
    <row r="282" spans="2:8" ht="34.049999999999997" customHeight="1" x14ac:dyDescent="0.3">
      <c r="B282" s="51" t="str">
        <f>'Sales Data'!C281</f>
        <v>INV-2310-279</v>
      </c>
      <c r="C282" s="31"/>
      <c r="D282" s="16" t="str">
        <f>'Sales Data'!E281</f>
        <v>ED-IND-WA87V-51</v>
      </c>
      <c r="E282" s="52">
        <f>'Sales Data'!G281</f>
        <v>432</v>
      </c>
      <c r="F282" s="72">
        <f>'Sales Data'!H281</f>
        <v>24</v>
      </c>
      <c r="G282" s="73"/>
      <c r="H282" s="73">
        <f>(InvoiceDetails[[#This Row],[Qty]]*InvoiceDetails[[#This Row],[Unit price]])-InvoiceDetails[[#This Row],[Discount]]</f>
        <v>10368</v>
      </c>
    </row>
    <row r="283" spans="2:8" ht="34.049999999999997" customHeight="1" x14ac:dyDescent="0.3">
      <c r="B283" s="51" t="str">
        <f>'Sales Data'!C282</f>
        <v>INV-2310-280</v>
      </c>
      <c r="C283" s="31"/>
      <c r="D283" s="16" t="str">
        <f>'Sales Data'!E282</f>
        <v>ED-IND-HX55K-25</v>
      </c>
      <c r="E283" s="52">
        <f>'Sales Data'!G282</f>
        <v>363</v>
      </c>
      <c r="F283" s="72">
        <f>'Sales Data'!H282</f>
        <v>23</v>
      </c>
      <c r="G283" s="73"/>
      <c r="H283" s="73">
        <f>(InvoiceDetails[[#This Row],[Qty]]*InvoiceDetails[[#This Row],[Unit price]])-InvoiceDetails[[#This Row],[Discount]]</f>
        <v>8349</v>
      </c>
    </row>
    <row r="284" spans="2:8" ht="34.049999999999997" customHeight="1" x14ac:dyDescent="0.3">
      <c r="B284" s="51" t="str">
        <f>'Sales Data'!C283</f>
        <v>INV-2310-281</v>
      </c>
      <c r="C284" s="31"/>
      <c r="D284" s="16" t="str">
        <f>'Sales Data'!E283</f>
        <v>ED-IND-LU13K-24</v>
      </c>
      <c r="E284" s="52">
        <f>'Sales Data'!G283</f>
        <v>334</v>
      </c>
      <c r="F284" s="72">
        <f>'Sales Data'!H283</f>
        <v>23</v>
      </c>
      <c r="G284" s="73"/>
      <c r="H284" s="73">
        <f>(InvoiceDetails[[#This Row],[Qty]]*InvoiceDetails[[#This Row],[Unit price]])-InvoiceDetails[[#This Row],[Discount]]</f>
        <v>7682</v>
      </c>
    </row>
    <row r="285" spans="2:8" ht="34.049999999999997" customHeight="1" x14ac:dyDescent="0.3">
      <c r="B285" s="51" t="str">
        <f>'Sales Data'!C284</f>
        <v>INV-2310-282</v>
      </c>
      <c r="C285" s="31"/>
      <c r="D285" s="16" t="str">
        <f>'Sales Data'!E284</f>
        <v>ED-IND-ZR78S-06</v>
      </c>
      <c r="E285" s="52">
        <f>'Sales Data'!G284</f>
        <v>292</v>
      </c>
      <c r="F285" s="72">
        <f>'Sales Data'!H284</f>
        <v>31</v>
      </c>
      <c r="G285" s="73"/>
      <c r="H285" s="73">
        <f>(InvoiceDetails[[#This Row],[Qty]]*InvoiceDetails[[#This Row],[Unit price]])-InvoiceDetails[[#This Row],[Discount]]</f>
        <v>9052</v>
      </c>
    </row>
    <row r="286" spans="2:8" ht="34.049999999999997" customHeight="1" x14ac:dyDescent="0.3">
      <c r="B286" s="51" t="str">
        <f>'Sales Data'!C285</f>
        <v>INV-2310-283</v>
      </c>
      <c r="C286" s="31"/>
      <c r="D286" s="16" t="str">
        <f>'Sales Data'!E285</f>
        <v>ED-IND-JX35V-88</v>
      </c>
      <c r="E286" s="52">
        <f>'Sales Data'!G285</f>
        <v>476</v>
      </c>
      <c r="F286" s="72">
        <f>'Sales Data'!H285</f>
        <v>25</v>
      </c>
      <c r="G286" s="73"/>
      <c r="H286" s="73">
        <f>(InvoiceDetails[[#This Row],[Qty]]*InvoiceDetails[[#This Row],[Unit price]])-InvoiceDetails[[#This Row],[Discount]]</f>
        <v>11900</v>
      </c>
    </row>
    <row r="287" spans="2:8" ht="34.049999999999997" customHeight="1" x14ac:dyDescent="0.3">
      <c r="B287" s="51" t="str">
        <f>'Sales Data'!C286</f>
        <v>INV-2310-284</v>
      </c>
      <c r="C287" s="31"/>
      <c r="D287" s="16" t="str">
        <f>'Sales Data'!E286</f>
        <v>ED-IND-MP51S-65</v>
      </c>
      <c r="E287" s="52">
        <f>'Sales Data'!G286</f>
        <v>473</v>
      </c>
      <c r="F287" s="72">
        <f>'Sales Data'!H286</f>
        <v>28</v>
      </c>
      <c r="G287" s="73"/>
      <c r="H287" s="73">
        <f>(InvoiceDetails[[#This Row],[Qty]]*InvoiceDetails[[#This Row],[Unit price]])-InvoiceDetails[[#This Row],[Discount]]</f>
        <v>13244</v>
      </c>
    </row>
    <row r="288" spans="2:8" ht="34.049999999999997" customHeight="1" x14ac:dyDescent="0.3">
      <c r="B288" s="51" t="str">
        <f>'Sales Data'!C287</f>
        <v>INV-2310-285</v>
      </c>
      <c r="C288" s="31"/>
      <c r="D288" s="16" t="str">
        <f>'Sales Data'!E287</f>
        <v>ED-IND-AX46Y-39</v>
      </c>
      <c r="E288" s="52">
        <f>'Sales Data'!G287</f>
        <v>365</v>
      </c>
      <c r="F288" s="72">
        <f>'Sales Data'!H287</f>
        <v>30</v>
      </c>
      <c r="G288" s="73"/>
      <c r="H288" s="73">
        <f>(InvoiceDetails[[#This Row],[Qty]]*InvoiceDetails[[#This Row],[Unit price]])-InvoiceDetails[[#This Row],[Discount]]</f>
        <v>10950</v>
      </c>
    </row>
    <row r="289" spans="2:8" ht="34.049999999999997" customHeight="1" x14ac:dyDescent="0.3">
      <c r="B289" s="51" t="str">
        <f>'Sales Data'!C288</f>
        <v>INV-2310-286</v>
      </c>
      <c r="C289" s="31"/>
      <c r="D289" s="16" t="str">
        <f>'Sales Data'!E288</f>
        <v>ED-IND-GT43D-43</v>
      </c>
      <c r="E289" s="52">
        <f>'Sales Data'!G288</f>
        <v>345</v>
      </c>
      <c r="F289" s="72">
        <f>'Sales Data'!H288</f>
        <v>30</v>
      </c>
      <c r="G289" s="73"/>
      <c r="H289" s="73">
        <f>(InvoiceDetails[[#This Row],[Qty]]*InvoiceDetails[[#This Row],[Unit price]])-InvoiceDetails[[#This Row],[Discount]]</f>
        <v>10350</v>
      </c>
    </row>
    <row r="290" spans="2:8" ht="34.049999999999997" customHeight="1" x14ac:dyDescent="0.3">
      <c r="B290" s="51" t="str">
        <f>'Sales Data'!C289</f>
        <v>INV-2310-287</v>
      </c>
      <c r="C290" s="31"/>
      <c r="D290" s="16" t="str">
        <f>'Sales Data'!E289</f>
        <v>ED-IND-DZ72O-24</v>
      </c>
      <c r="E290" s="52">
        <f>'Sales Data'!G289</f>
        <v>502</v>
      </c>
      <c r="F290" s="72">
        <f>'Sales Data'!H289</f>
        <v>24</v>
      </c>
      <c r="G290" s="73"/>
      <c r="H290" s="73">
        <f>(InvoiceDetails[[#This Row],[Qty]]*InvoiceDetails[[#This Row],[Unit price]])-InvoiceDetails[[#This Row],[Discount]]</f>
        <v>12048</v>
      </c>
    </row>
    <row r="291" spans="2:8" ht="34.049999999999997" customHeight="1" x14ac:dyDescent="0.3">
      <c r="B291" s="51" t="str">
        <f>'Sales Data'!C290</f>
        <v>INV-2310-288</v>
      </c>
      <c r="C291" s="31"/>
      <c r="D291" s="16" t="str">
        <f>'Sales Data'!E290</f>
        <v>ED-IND-NC28A-22</v>
      </c>
      <c r="E291" s="52">
        <f>'Sales Data'!G290</f>
        <v>254</v>
      </c>
      <c r="F291" s="72">
        <f>'Sales Data'!H290</f>
        <v>24</v>
      </c>
      <c r="G291" s="73"/>
      <c r="H291" s="73">
        <f>(InvoiceDetails[[#This Row],[Qty]]*InvoiceDetails[[#This Row],[Unit price]])-InvoiceDetails[[#This Row],[Discount]]</f>
        <v>6096</v>
      </c>
    </row>
    <row r="292" spans="2:8" ht="34.049999999999997" customHeight="1" x14ac:dyDescent="0.3">
      <c r="B292" s="51" t="str">
        <f>'Sales Data'!C291</f>
        <v>INV-2310-289</v>
      </c>
      <c r="C292" s="31"/>
      <c r="D292" s="16" t="str">
        <f>'Sales Data'!E291</f>
        <v>ED-IND-NU27W-41</v>
      </c>
      <c r="E292" s="52">
        <f>'Sales Data'!G291</f>
        <v>308</v>
      </c>
      <c r="F292" s="72">
        <f>'Sales Data'!H291</f>
        <v>23</v>
      </c>
      <c r="G292" s="73"/>
      <c r="H292" s="73">
        <f>(InvoiceDetails[[#This Row],[Qty]]*InvoiceDetails[[#This Row],[Unit price]])-InvoiceDetails[[#This Row],[Discount]]</f>
        <v>7084</v>
      </c>
    </row>
    <row r="293" spans="2:8" ht="34.049999999999997" customHeight="1" x14ac:dyDescent="0.3">
      <c r="B293" s="51" t="str">
        <f>'Sales Data'!C292</f>
        <v>INV-2310-290</v>
      </c>
      <c r="C293" s="31"/>
      <c r="D293" s="16" t="str">
        <f>'Sales Data'!E292</f>
        <v>ED-IND-UP56R-45</v>
      </c>
      <c r="E293" s="52">
        <f>'Sales Data'!G292</f>
        <v>471</v>
      </c>
      <c r="F293" s="72">
        <f>'Sales Data'!H292</f>
        <v>26</v>
      </c>
      <c r="G293" s="73"/>
      <c r="H293" s="73">
        <f>(InvoiceDetails[[#This Row],[Qty]]*InvoiceDetails[[#This Row],[Unit price]])-InvoiceDetails[[#This Row],[Discount]]</f>
        <v>12246</v>
      </c>
    </row>
    <row r="294" spans="2:8" ht="34.049999999999997" customHeight="1" x14ac:dyDescent="0.3">
      <c r="B294" s="51" t="str">
        <f>'Sales Data'!C293</f>
        <v>INV-2310-291</v>
      </c>
      <c r="C294" s="31"/>
      <c r="D294" s="16" t="str">
        <f>'Sales Data'!E293</f>
        <v>PC-IND-NT33B-90</v>
      </c>
      <c r="E294" s="52">
        <f>'Sales Data'!G293</f>
        <v>255</v>
      </c>
      <c r="F294" s="72">
        <f>'Sales Data'!H293</f>
        <v>24</v>
      </c>
      <c r="G294" s="73"/>
      <c r="H294" s="73">
        <f>(InvoiceDetails[[#This Row],[Qty]]*InvoiceDetails[[#This Row],[Unit price]])-InvoiceDetails[[#This Row],[Discount]]</f>
        <v>6120</v>
      </c>
    </row>
    <row r="295" spans="2:8" ht="34.049999999999997" customHeight="1" x14ac:dyDescent="0.3">
      <c r="B295" s="51" t="str">
        <f>'Sales Data'!C294</f>
        <v>INV-2310-292</v>
      </c>
      <c r="C295" s="31"/>
      <c r="D295" s="16" t="str">
        <f>'Sales Data'!E294</f>
        <v>ED-IND-SJ64X-74</v>
      </c>
      <c r="E295" s="52">
        <f>'Sales Data'!G294</f>
        <v>310</v>
      </c>
      <c r="F295" s="72">
        <f>'Sales Data'!H294</f>
        <v>21</v>
      </c>
      <c r="G295" s="73"/>
      <c r="H295" s="73">
        <f>(InvoiceDetails[[#This Row],[Qty]]*InvoiceDetails[[#This Row],[Unit price]])-InvoiceDetails[[#This Row],[Discount]]</f>
        <v>6510</v>
      </c>
    </row>
    <row r="296" spans="2:8" ht="34.049999999999997" customHeight="1" x14ac:dyDescent="0.3">
      <c r="B296" s="51" t="str">
        <f>'Sales Data'!C295</f>
        <v>INV-2310-293</v>
      </c>
      <c r="C296" s="31"/>
      <c r="D296" s="16" t="str">
        <f>'Sales Data'!E295</f>
        <v>ED-IND-GD34A-36</v>
      </c>
      <c r="E296" s="52">
        <f>'Sales Data'!G295</f>
        <v>425</v>
      </c>
      <c r="F296" s="72">
        <f>'Sales Data'!H295</f>
        <v>22</v>
      </c>
      <c r="G296" s="73"/>
      <c r="H296" s="73">
        <f>(InvoiceDetails[[#This Row],[Qty]]*InvoiceDetails[[#This Row],[Unit price]])-InvoiceDetails[[#This Row],[Discount]]</f>
        <v>9350</v>
      </c>
    </row>
    <row r="297" spans="2:8" ht="34.049999999999997" customHeight="1" x14ac:dyDescent="0.3">
      <c r="B297" s="51" t="str">
        <f>'Sales Data'!C296</f>
        <v>INV-2310-294</v>
      </c>
      <c r="C297" s="31"/>
      <c r="D297" s="16" t="str">
        <f>'Sales Data'!E296</f>
        <v>ED-IND-ND37Z-68</v>
      </c>
      <c r="E297" s="52">
        <f>'Sales Data'!G296</f>
        <v>509</v>
      </c>
      <c r="F297" s="72">
        <f>'Sales Data'!H296</f>
        <v>29</v>
      </c>
      <c r="G297" s="73"/>
      <c r="H297" s="73">
        <f>(InvoiceDetails[[#This Row],[Qty]]*InvoiceDetails[[#This Row],[Unit price]])-InvoiceDetails[[#This Row],[Discount]]</f>
        <v>14761</v>
      </c>
    </row>
    <row r="298" spans="2:8" ht="34.049999999999997" customHeight="1" x14ac:dyDescent="0.3">
      <c r="B298" s="51" t="str">
        <f>'Sales Data'!C297</f>
        <v>INV-2310-295</v>
      </c>
      <c r="C298" s="31"/>
      <c r="D298" s="16" t="str">
        <f>'Sales Data'!E297</f>
        <v>PC-IND-QA81U-76</v>
      </c>
      <c r="E298" s="52">
        <f>'Sales Data'!G297</f>
        <v>474</v>
      </c>
      <c r="F298" s="72">
        <f>'Sales Data'!H297</f>
        <v>31</v>
      </c>
      <c r="G298" s="73"/>
      <c r="H298" s="73">
        <f>(InvoiceDetails[[#This Row],[Qty]]*InvoiceDetails[[#This Row],[Unit price]])-InvoiceDetails[[#This Row],[Discount]]</f>
        <v>14694</v>
      </c>
    </row>
    <row r="299" spans="2:8" ht="34.049999999999997" customHeight="1" x14ac:dyDescent="0.3">
      <c r="B299" s="51" t="str">
        <f>'Sales Data'!C298</f>
        <v>INV-2310-296</v>
      </c>
      <c r="C299" s="31"/>
      <c r="D299" s="16" t="str">
        <f>'Sales Data'!E298</f>
        <v>ED-IND-LJ75L-66</v>
      </c>
      <c r="E299" s="52">
        <f>'Sales Data'!G298</f>
        <v>498</v>
      </c>
      <c r="F299" s="72">
        <f>'Sales Data'!H298</f>
        <v>26</v>
      </c>
      <c r="G299" s="73"/>
      <c r="H299" s="73">
        <f>(InvoiceDetails[[#This Row],[Qty]]*InvoiceDetails[[#This Row],[Unit price]])-InvoiceDetails[[#This Row],[Discount]]</f>
        <v>12948</v>
      </c>
    </row>
    <row r="300" spans="2:8" ht="34.049999999999997" customHeight="1" x14ac:dyDescent="0.3">
      <c r="B300" s="51" t="str">
        <f>'Sales Data'!C299</f>
        <v>INV-2310-297</v>
      </c>
      <c r="C300" s="31"/>
      <c r="D300" s="16" t="str">
        <f>'Sales Data'!E299</f>
        <v>ED-IND-XR32Q-32</v>
      </c>
      <c r="E300" s="52">
        <f>'Sales Data'!G299</f>
        <v>266</v>
      </c>
      <c r="F300" s="72">
        <f>'Sales Data'!H299</f>
        <v>31</v>
      </c>
      <c r="G300" s="73"/>
      <c r="H300" s="73">
        <f>(InvoiceDetails[[#This Row],[Qty]]*InvoiceDetails[[#This Row],[Unit price]])-InvoiceDetails[[#This Row],[Discount]]</f>
        <v>8246</v>
      </c>
    </row>
    <row r="301" spans="2:8" ht="34.049999999999997" customHeight="1" x14ac:dyDescent="0.3">
      <c r="B301" s="51" t="str">
        <f>'Sales Data'!C300</f>
        <v>INV-2310-298</v>
      </c>
      <c r="C301" s="31"/>
      <c r="D301" s="16" t="str">
        <f>'Sales Data'!E300</f>
        <v>ED-IND-SX40U-51</v>
      </c>
      <c r="E301" s="52">
        <f>'Sales Data'!G300</f>
        <v>420</v>
      </c>
      <c r="F301" s="72">
        <f>'Sales Data'!H300</f>
        <v>26</v>
      </c>
      <c r="G301" s="73"/>
      <c r="H301" s="73">
        <f>(InvoiceDetails[[#This Row],[Qty]]*InvoiceDetails[[#This Row],[Unit price]])-InvoiceDetails[[#This Row],[Discount]]</f>
        <v>10920</v>
      </c>
    </row>
    <row r="302" spans="2:8" ht="34.049999999999997" customHeight="1" x14ac:dyDescent="0.3">
      <c r="B302" s="51" t="str">
        <f>'Sales Data'!C301</f>
        <v>INV-2310-299</v>
      </c>
      <c r="C302" s="31"/>
      <c r="D302" s="16" t="str">
        <f>'Sales Data'!E301</f>
        <v>ED-IND-CY37U-91</v>
      </c>
      <c r="E302" s="52">
        <f>'Sales Data'!G301</f>
        <v>252</v>
      </c>
      <c r="F302" s="72">
        <f>'Sales Data'!H301</f>
        <v>30</v>
      </c>
      <c r="G302" s="73"/>
      <c r="H302" s="73">
        <f>(InvoiceDetails[[#This Row],[Qty]]*InvoiceDetails[[#This Row],[Unit price]])-InvoiceDetails[[#This Row],[Discount]]</f>
        <v>7560</v>
      </c>
    </row>
    <row r="303" spans="2:8" ht="34.049999999999997" customHeight="1" x14ac:dyDescent="0.3">
      <c r="B303" s="51" t="str">
        <f>'Sales Data'!C302</f>
        <v>INV-2310-300</v>
      </c>
      <c r="C303" s="31"/>
      <c r="D303" s="16" t="str">
        <f>'Sales Data'!E302</f>
        <v>ED-IND-YX37B-03</v>
      </c>
      <c r="E303" s="52">
        <f>'Sales Data'!G302</f>
        <v>342</v>
      </c>
      <c r="F303" s="72">
        <f>'Sales Data'!H302</f>
        <v>22</v>
      </c>
      <c r="G303" s="73"/>
      <c r="H303" s="73">
        <f>(InvoiceDetails[[#This Row],[Qty]]*InvoiceDetails[[#This Row],[Unit price]])-InvoiceDetails[[#This Row],[Discount]]</f>
        <v>7524</v>
      </c>
    </row>
    <row r="304" spans="2:8" ht="34.049999999999997" customHeight="1" x14ac:dyDescent="0.3">
      <c r="B304" s="51" t="str">
        <f>'Sales Data'!C303</f>
        <v>INV-2310-301</v>
      </c>
      <c r="C304" s="31"/>
      <c r="D304" s="16" t="str">
        <f>'Sales Data'!E303</f>
        <v>PC-IND-ME94U-22</v>
      </c>
      <c r="E304" s="52">
        <f>'Sales Data'!G303</f>
        <v>283</v>
      </c>
      <c r="F304" s="72">
        <f>'Sales Data'!H303</f>
        <v>29</v>
      </c>
      <c r="G304" s="73"/>
      <c r="H304" s="73">
        <f>(InvoiceDetails[[#This Row],[Qty]]*InvoiceDetails[[#This Row],[Unit price]])-InvoiceDetails[[#This Row],[Discount]]</f>
        <v>8207</v>
      </c>
    </row>
    <row r="305" spans="2:8" ht="34.049999999999997" customHeight="1" x14ac:dyDescent="0.3">
      <c r="B305" s="51" t="str">
        <f>'Sales Data'!C304</f>
        <v>INV-2311-302</v>
      </c>
      <c r="C305" s="31"/>
      <c r="D305" s="16" t="str">
        <f>'Sales Data'!E304</f>
        <v>ED-IND-UE12D-32</v>
      </c>
      <c r="E305" s="52">
        <f>'Sales Data'!G304</f>
        <v>277</v>
      </c>
      <c r="F305" s="72">
        <f>'Sales Data'!H304</f>
        <v>31</v>
      </c>
      <c r="G305" s="73"/>
      <c r="H305" s="73">
        <f>(InvoiceDetails[[#This Row],[Qty]]*InvoiceDetails[[#This Row],[Unit price]])-InvoiceDetails[[#This Row],[Discount]]</f>
        <v>8587</v>
      </c>
    </row>
    <row r="306" spans="2:8" ht="34.049999999999997" customHeight="1" x14ac:dyDescent="0.3">
      <c r="B306" s="51" t="str">
        <f>'Sales Data'!C305</f>
        <v>INV-2311-303</v>
      </c>
      <c r="C306" s="31"/>
      <c r="D306" s="16" t="str">
        <f>'Sales Data'!E305</f>
        <v>ED-IND-MZ10L-61</v>
      </c>
      <c r="E306" s="52">
        <f>'Sales Data'!G305</f>
        <v>210</v>
      </c>
      <c r="F306" s="72">
        <f>'Sales Data'!H305</f>
        <v>21</v>
      </c>
      <c r="G306" s="73"/>
      <c r="H306" s="73">
        <f>(InvoiceDetails[[#This Row],[Qty]]*InvoiceDetails[[#This Row],[Unit price]])-InvoiceDetails[[#This Row],[Discount]]</f>
        <v>4410</v>
      </c>
    </row>
    <row r="307" spans="2:8" ht="34.049999999999997" customHeight="1" x14ac:dyDescent="0.3">
      <c r="B307" s="51" t="str">
        <f>'Sales Data'!C306</f>
        <v>INV-2311-304</v>
      </c>
      <c r="C307" s="31"/>
      <c r="D307" s="16" t="str">
        <f>'Sales Data'!E306</f>
        <v>ED-IND-TX78C-81</v>
      </c>
      <c r="E307" s="52">
        <f>'Sales Data'!G306</f>
        <v>259</v>
      </c>
      <c r="F307" s="72">
        <f>'Sales Data'!H306</f>
        <v>25</v>
      </c>
      <c r="G307" s="73"/>
      <c r="H307" s="73">
        <f>(InvoiceDetails[[#This Row],[Qty]]*InvoiceDetails[[#This Row],[Unit price]])-InvoiceDetails[[#This Row],[Discount]]</f>
        <v>6475</v>
      </c>
    </row>
    <row r="308" spans="2:8" ht="34.049999999999997" customHeight="1" x14ac:dyDescent="0.3">
      <c r="B308" s="51" t="str">
        <f>'Sales Data'!C307</f>
        <v>INV-2311-305</v>
      </c>
      <c r="C308" s="31"/>
      <c r="D308" s="16" t="str">
        <f>'Sales Data'!E307</f>
        <v>PC-IND-ZG78T-96</v>
      </c>
      <c r="E308" s="52">
        <f>'Sales Data'!G307</f>
        <v>222</v>
      </c>
      <c r="F308" s="72">
        <f>'Sales Data'!H307</f>
        <v>26</v>
      </c>
      <c r="G308" s="73"/>
      <c r="H308" s="73">
        <f>(InvoiceDetails[[#This Row],[Qty]]*InvoiceDetails[[#This Row],[Unit price]])-InvoiceDetails[[#This Row],[Discount]]</f>
        <v>5772</v>
      </c>
    </row>
    <row r="309" spans="2:8" ht="34.049999999999997" customHeight="1" x14ac:dyDescent="0.3">
      <c r="B309" s="51" t="str">
        <f>'Sales Data'!C308</f>
        <v>INV-2311-306</v>
      </c>
      <c r="C309" s="31"/>
      <c r="D309" s="16" t="str">
        <f>'Sales Data'!E308</f>
        <v>ED-IND-PE20T-40</v>
      </c>
      <c r="E309" s="52">
        <f>'Sales Data'!G308</f>
        <v>270</v>
      </c>
      <c r="F309" s="72">
        <f>'Sales Data'!H308</f>
        <v>22</v>
      </c>
      <c r="G309" s="73"/>
      <c r="H309" s="73">
        <f>(InvoiceDetails[[#This Row],[Qty]]*InvoiceDetails[[#This Row],[Unit price]])-InvoiceDetails[[#This Row],[Discount]]</f>
        <v>5940</v>
      </c>
    </row>
    <row r="310" spans="2:8" ht="34.049999999999997" customHeight="1" x14ac:dyDescent="0.3">
      <c r="B310" s="51" t="str">
        <f>'Sales Data'!C309</f>
        <v>INV-2311-307</v>
      </c>
      <c r="C310" s="31"/>
      <c r="D310" s="16" t="str">
        <f>'Sales Data'!E309</f>
        <v>ED-IND-QK15A-62</v>
      </c>
      <c r="E310" s="52">
        <f>'Sales Data'!G309</f>
        <v>277</v>
      </c>
      <c r="F310" s="72">
        <f>'Sales Data'!H309</f>
        <v>26</v>
      </c>
      <c r="G310" s="73"/>
      <c r="H310" s="73">
        <f>(InvoiceDetails[[#This Row],[Qty]]*InvoiceDetails[[#This Row],[Unit price]])-InvoiceDetails[[#This Row],[Discount]]</f>
        <v>7202</v>
      </c>
    </row>
    <row r="311" spans="2:8" ht="34.049999999999997" customHeight="1" x14ac:dyDescent="0.3">
      <c r="B311" s="51" t="str">
        <f>'Sales Data'!C310</f>
        <v>INV-2311-308</v>
      </c>
      <c r="C311" s="31"/>
      <c r="D311" s="16" t="str">
        <f>'Sales Data'!E310</f>
        <v>ED-IND-DA63I-93</v>
      </c>
      <c r="E311" s="52">
        <f>'Sales Data'!G310</f>
        <v>287</v>
      </c>
      <c r="F311" s="72">
        <f>'Sales Data'!H310</f>
        <v>24</v>
      </c>
      <c r="G311" s="73"/>
      <c r="H311" s="73">
        <f>(InvoiceDetails[[#This Row],[Qty]]*InvoiceDetails[[#This Row],[Unit price]])-InvoiceDetails[[#This Row],[Discount]]</f>
        <v>6888</v>
      </c>
    </row>
    <row r="312" spans="2:8" ht="34.049999999999997" customHeight="1" x14ac:dyDescent="0.3">
      <c r="B312" s="51" t="str">
        <f>'Sales Data'!C311</f>
        <v>INV-2311-309</v>
      </c>
      <c r="C312" s="31"/>
      <c r="D312" s="16" t="str">
        <f>'Sales Data'!E311</f>
        <v>ED-IND-VJ60Y-47</v>
      </c>
      <c r="E312" s="52">
        <f>'Sales Data'!G311</f>
        <v>218</v>
      </c>
      <c r="F312" s="72">
        <f>'Sales Data'!H311</f>
        <v>25</v>
      </c>
      <c r="G312" s="73"/>
      <c r="H312" s="73">
        <f>(InvoiceDetails[[#This Row],[Qty]]*InvoiceDetails[[#This Row],[Unit price]])-InvoiceDetails[[#This Row],[Discount]]</f>
        <v>5450</v>
      </c>
    </row>
    <row r="313" spans="2:8" ht="34.049999999999997" customHeight="1" x14ac:dyDescent="0.3">
      <c r="B313" s="51" t="str">
        <f>'Sales Data'!C312</f>
        <v>INV-2311-310</v>
      </c>
      <c r="C313" s="31"/>
      <c r="D313" s="16" t="str">
        <f>'Sales Data'!E312</f>
        <v>PC-IND-PD19T-75</v>
      </c>
      <c r="E313" s="52">
        <f>'Sales Data'!G312</f>
        <v>286</v>
      </c>
      <c r="F313" s="72">
        <f>'Sales Data'!H312</f>
        <v>29</v>
      </c>
      <c r="G313" s="73"/>
      <c r="H313" s="73">
        <f>(InvoiceDetails[[#This Row],[Qty]]*InvoiceDetails[[#This Row],[Unit price]])-InvoiceDetails[[#This Row],[Discount]]</f>
        <v>8294</v>
      </c>
    </row>
    <row r="314" spans="2:8" ht="34.049999999999997" customHeight="1" x14ac:dyDescent="0.3">
      <c r="B314" s="51" t="str">
        <f>'Sales Data'!C313</f>
        <v>INV-2311-311</v>
      </c>
      <c r="C314" s="31"/>
      <c r="D314" s="16" t="str">
        <f>'Sales Data'!E313</f>
        <v>ED-IND-QS47A-83</v>
      </c>
      <c r="E314" s="52">
        <f>'Sales Data'!G313</f>
        <v>209</v>
      </c>
      <c r="F314" s="72">
        <f>'Sales Data'!H313</f>
        <v>27</v>
      </c>
      <c r="G314" s="73"/>
      <c r="H314" s="73">
        <f>(InvoiceDetails[[#This Row],[Qty]]*InvoiceDetails[[#This Row],[Unit price]])-InvoiceDetails[[#This Row],[Discount]]</f>
        <v>5643</v>
      </c>
    </row>
    <row r="315" spans="2:8" ht="34.049999999999997" customHeight="1" x14ac:dyDescent="0.3">
      <c r="B315" s="51" t="str">
        <f>'Sales Data'!C314</f>
        <v>INV-2311-312</v>
      </c>
      <c r="C315" s="31"/>
      <c r="D315" s="16" t="str">
        <f>'Sales Data'!E314</f>
        <v>ED-IND-EI29N-19</v>
      </c>
      <c r="E315" s="52">
        <f>'Sales Data'!G314</f>
        <v>203</v>
      </c>
      <c r="F315" s="72">
        <f>'Sales Data'!H314</f>
        <v>27</v>
      </c>
      <c r="G315" s="73"/>
      <c r="H315" s="73">
        <f>(InvoiceDetails[[#This Row],[Qty]]*InvoiceDetails[[#This Row],[Unit price]])-InvoiceDetails[[#This Row],[Discount]]</f>
        <v>5481</v>
      </c>
    </row>
    <row r="316" spans="2:8" ht="34.049999999999997" customHeight="1" x14ac:dyDescent="0.3">
      <c r="B316" s="51" t="str">
        <f>'Sales Data'!C315</f>
        <v>INV-2311-313</v>
      </c>
      <c r="C316" s="31"/>
      <c r="D316" s="16" t="str">
        <f>'Sales Data'!E315</f>
        <v>PC-IND-TG24Q-94</v>
      </c>
      <c r="E316" s="52">
        <f>'Sales Data'!G315</f>
        <v>266</v>
      </c>
      <c r="F316" s="72">
        <f>'Sales Data'!H315</f>
        <v>22</v>
      </c>
      <c r="G316" s="73"/>
      <c r="H316" s="73">
        <f>(InvoiceDetails[[#This Row],[Qty]]*InvoiceDetails[[#This Row],[Unit price]])-InvoiceDetails[[#This Row],[Discount]]</f>
        <v>5852</v>
      </c>
    </row>
    <row r="317" spans="2:8" ht="34.049999999999997" customHeight="1" x14ac:dyDescent="0.3">
      <c r="B317" s="51" t="str">
        <f>'Sales Data'!C316</f>
        <v>INV-2311-314</v>
      </c>
      <c r="C317" s="31"/>
      <c r="D317" s="16" t="str">
        <f>'Sales Data'!E316</f>
        <v>ED-IND-TO91Y-18</v>
      </c>
      <c r="E317" s="52">
        <f>'Sales Data'!G316</f>
        <v>286</v>
      </c>
      <c r="F317" s="72">
        <f>'Sales Data'!H316</f>
        <v>28</v>
      </c>
      <c r="G317" s="73"/>
      <c r="H317" s="73">
        <f>(InvoiceDetails[[#This Row],[Qty]]*InvoiceDetails[[#This Row],[Unit price]])-InvoiceDetails[[#This Row],[Discount]]</f>
        <v>8008</v>
      </c>
    </row>
    <row r="318" spans="2:8" ht="34.049999999999997" customHeight="1" x14ac:dyDescent="0.3">
      <c r="B318" s="51" t="str">
        <f>'Sales Data'!C317</f>
        <v>INV-2311-315</v>
      </c>
      <c r="C318" s="31"/>
      <c r="D318" s="16" t="str">
        <f>'Sales Data'!E317</f>
        <v>ED-IND-SM51J-71</v>
      </c>
      <c r="E318" s="52">
        <f>'Sales Data'!G317</f>
        <v>202</v>
      </c>
      <c r="F318" s="72">
        <f>'Sales Data'!H317</f>
        <v>25</v>
      </c>
      <c r="G318" s="73"/>
      <c r="H318" s="73">
        <f>(InvoiceDetails[[#This Row],[Qty]]*InvoiceDetails[[#This Row],[Unit price]])-InvoiceDetails[[#This Row],[Discount]]</f>
        <v>5050</v>
      </c>
    </row>
    <row r="319" spans="2:8" ht="34.049999999999997" customHeight="1" x14ac:dyDescent="0.3">
      <c r="B319" s="51" t="str">
        <f>'Sales Data'!C318</f>
        <v>INV-2311-316</v>
      </c>
      <c r="C319" s="31"/>
      <c r="D319" s="16" t="str">
        <f>'Sales Data'!E318</f>
        <v>ED-IND-ZE73R-51</v>
      </c>
      <c r="E319" s="52">
        <f>'Sales Data'!G318</f>
        <v>268</v>
      </c>
      <c r="F319" s="72">
        <f>'Sales Data'!H318</f>
        <v>24</v>
      </c>
      <c r="G319" s="73"/>
      <c r="H319" s="73">
        <f>(InvoiceDetails[[#This Row],[Qty]]*InvoiceDetails[[#This Row],[Unit price]])-InvoiceDetails[[#This Row],[Discount]]</f>
        <v>6432</v>
      </c>
    </row>
    <row r="320" spans="2:8" ht="34.049999999999997" customHeight="1" x14ac:dyDescent="0.3">
      <c r="B320" s="51" t="str">
        <f>'Sales Data'!C319</f>
        <v>INV-2311-317</v>
      </c>
      <c r="C320" s="31"/>
      <c r="D320" s="16" t="str">
        <f>'Sales Data'!E319</f>
        <v>ED-IND-YE60H-83</v>
      </c>
      <c r="E320" s="52">
        <f>'Sales Data'!G319</f>
        <v>247</v>
      </c>
      <c r="F320" s="72">
        <f>'Sales Data'!H319</f>
        <v>30</v>
      </c>
      <c r="G320" s="73"/>
      <c r="H320" s="73">
        <f>(InvoiceDetails[[#This Row],[Qty]]*InvoiceDetails[[#This Row],[Unit price]])-InvoiceDetails[[#This Row],[Discount]]</f>
        <v>7410</v>
      </c>
    </row>
    <row r="321" spans="2:8" ht="34.049999999999997" customHeight="1" x14ac:dyDescent="0.3">
      <c r="B321" s="51" t="str">
        <f>'Sales Data'!C320</f>
        <v>INV-2311-318</v>
      </c>
      <c r="C321" s="31"/>
      <c r="D321" s="16" t="str">
        <f>'Sales Data'!E320</f>
        <v>ED-IND-VX39R-58</v>
      </c>
      <c r="E321" s="52">
        <f>'Sales Data'!G320</f>
        <v>233</v>
      </c>
      <c r="F321" s="72">
        <f>'Sales Data'!H320</f>
        <v>24</v>
      </c>
      <c r="G321" s="73"/>
      <c r="H321" s="73">
        <f>(InvoiceDetails[[#This Row],[Qty]]*InvoiceDetails[[#This Row],[Unit price]])-InvoiceDetails[[#This Row],[Discount]]</f>
        <v>5592</v>
      </c>
    </row>
    <row r="322" spans="2:8" ht="34.049999999999997" customHeight="1" x14ac:dyDescent="0.3">
      <c r="B322" s="51" t="str">
        <f>'Sales Data'!C321</f>
        <v>INV-2311-319</v>
      </c>
      <c r="C322" s="31"/>
      <c r="D322" s="16" t="str">
        <f>'Sales Data'!E321</f>
        <v>ED-IND-EZ85Y-94</v>
      </c>
      <c r="E322" s="52">
        <f>'Sales Data'!G321</f>
        <v>284</v>
      </c>
      <c r="F322" s="72">
        <f>'Sales Data'!H321</f>
        <v>24</v>
      </c>
      <c r="G322" s="73"/>
      <c r="H322" s="73">
        <f>(InvoiceDetails[[#This Row],[Qty]]*InvoiceDetails[[#This Row],[Unit price]])-InvoiceDetails[[#This Row],[Discount]]</f>
        <v>6816</v>
      </c>
    </row>
    <row r="323" spans="2:8" ht="34.049999999999997" customHeight="1" x14ac:dyDescent="0.3">
      <c r="B323" s="51" t="str">
        <f>'Sales Data'!C322</f>
        <v>INV-2311-320</v>
      </c>
      <c r="C323" s="31"/>
      <c r="D323" s="16" t="str">
        <f>'Sales Data'!E322</f>
        <v>PC-IND-WJ78F-41</v>
      </c>
      <c r="E323" s="52">
        <f>'Sales Data'!G322</f>
        <v>210</v>
      </c>
      <c r="F323" s="72">
        <f>'Sales Data'!H322</f>
        <v>30</v>
      </c>
      <c r="G323" s="73"/>
      <c r="H323" s="73">
        <f>(InvoiceDetails[[#This Row],[Qty]]*InvoiceDetails[[#This Row],[Unit price]])-InvoiceDetails[[#This Row],[Discount]]</f>
        <v>6300</v>
      </c>
    </row>
    <row r="324" spans="2:8" ht="34.049999999999997" customHeight="1" x14ac:dyDescent="0.3">
      <c r="B324" s="51" t="str">
        <f>'Sales Data'!C323</f>
        <v>INV-2311-321</v>
      </c>
      <c r="C324" s="31"/>
      <c r="D324" s="16" t="str">
        <f>'Sales Data'!E323</f>
        <v>ED-IND-XP12V-70</v>
      </c>
      <c r="E324" s="52">
        <f>'Sales Data'!G323</f>
        <v>262</v>
      </c>
      <c r="F324" s="72">
        <f>'Sales Data'!H323</f>
        <v>26</v>
      </c>
      <c r="G324" s="73"/>
      <c r="H324" s="73">
        <f>(InvoiceDetails[[#This Row],[Qty]]*InvoiceDetails[[#This Row],[Unit price]])-InvoiceDetails[[#This Row],[Discount]]</f>
        <v>6812</v>
      </c>
    </row>
    <row r="325" spans="2:8" ht="34.049999999999997" customHeight="1" x14ac:dyDescent="0.3">
      <c r="B325" s="51" t="str">
        <f>'Sales Data'!C324</f>
        <v>INV-2311-322</v>
      </c>
      <c r="C325" s="31"/>
      <c r="D325" s="16" t="str">
        <f>'Sales Data'!E324</f>
        <v>ED-IND-EB78U-19</v>
      </c>
      <c r="E325" s="52">
        <f>'Sales Data'!G324</f>
        <v>268</v>
      </c>
      <c r="F325" s="72">
        <f>'Sales Data'!H324</f>
        <v>21</v>
      </c>
      <c r="G325" s="73"/>
      <c r="H325" s="73">
        <f>(InvoiceDetails[[#This Row],[Qty]]*InvoiceDetails[[#This Row],[Unit price]])-InvoiceDetails[[#This Row],[Discount]]</f>
        <v>5628</v>
      </c>
    </row>
    <row r="326" spans="2:8" ht="34.049999999999997" customHeight="1" x14ac:dyDescent="0.3">
      <c r="B326" s="51" t="str">
        <f>'Sales Data'!C325</f>
        <v>INV-2311-323</v>
      </c>
      <c r="C326" s="31"/>
      <c r="D326" s="16" t="str">
        <f>'Sales Data'!E325</f>
        <v>ED-IND-VV85G-79</v>
      </c>
      <c r="E326" s="52">
        <f>'Sales Data'!G325</f>
        <v>286</v>
      </c>
      <c r="F326" s="72">
        <f>'Sales Data'!H325</f>
        <v>29</v>
      </c>
      <c r="G326" s="73"/>
      <c r="H326" s="73">
        <f>(InvoiceDetails[[#This Row],[Qty]]*InvoiceDetails[[#This Row],[Unit price]])-InvoiceDetails[[#This Row],[Discount]]</f>
        <v>8294</v>
      </c>
    </row>
    <row r="327" spans="2:8" ht="34.049999999999997" customHeight="1" x14ac:dyDescent="0.3">
      <c r="B327" s="51" t="str">
        <f>'Sales Data'!C326</f>
        <v>INV-2311-324</v>
      </c>
      <c r="C327" s="31"/>
      <c r="D327" s="16" t="str">
        <f>'Sales Data'!E326</f>
        <v>ED-IND-DS24U-53</v>
      </c>
      <c r="E327" s="52">
        <f>'Sales Data'!G326</f>
        <v>233</v>
      </c>
      <c r="F327" s="72">
        <f>'Sales Data'!H326</f>
        <v>30</v>
      </c>
      <c r="G327" s="73"/>
      <c r="H327" s="73">
        <f>(InvoiceDetails[[#This Row],[Qty]]*InvoiceDetails[[#This Row],[Unit price]])-InvoiceDetails[[#This Row],[Discount]]</f>
        <v>6990</v>
      </c>
    </row>
    <row r="328" spans="2:8" ht="34.049999999999997" customHeight="1" x14ac:dyDescent="0.3">
      <c r="B328" s="51" t="str">
        <f>'Sales Data'!C327</f>
        <v>INV-2311-325</v>
      </c>
      <c r="C328" s="31"/>
      <c r="D328" s="16" t="str">
        <f>'Sales Data'!E327</f>
        <v>ED-IND-VC82D-70</v>
      </c>
      <c r="E328" s="52">
        <f>'Sales Data'!G327</f>
        <v>288</v>
      </c>
      <c r="F328" s="72">
        <f>'Sales Data'!H327</f>
        <v>25</v>
      </c>
      <c r="G328" s="73"/>
      <c r="H328" s="73">
        <f>(InvoiceDetails[[#This Row],[Qty]]*InvoiceDetails[[#This Row],[Unit price]])-InvoiceDetails[[#This Row],[Discount]]</f>
        <v>7200</v>
      </c>
    </row>
    <row r="329" spans="2:8" ht="34.049999999999997" customHeight="1" x14ac:dyDescent="0.3">
      <c r="B329" s="51" t="str">
        <f>'Sales Data'!C328</f>
        <v>INV-2311-326</v>
      </c>
      <c r="C329" s="31"/>
      <c r="D329" s="16" t="str">
        <f>'Sales Data'!E328</f>
        <v>ED-IND-GU99X-17</v>
      </c>
      <c r="E329" s="52">
        <f>'Sales Data'!G328</f>
        <v>221</v>
      </c>
      <c r="F329" s="72">
        <f>'Sales Data'!H328</f>
        <v>30</v>
      </c>
      <c r="G329" s="73"/>
      <c r="H329" s="73">
        <f>(InvoiceDetails[[#This Row],[Qty]]*InvoiceDetails[[#This Row],[Unit price]])-InvoiceDetails[[#This Row],[Discount]]</f>
        <v>6630</v>
      </c>
    </row>
    <row r="330" spans="2:8" ht="34.049999999999997" customHeight="1" x14ac:dyDescent="0.3">
      <c r="B330" s="51" t="str">
        <f>'Sales Data'!C329</f>
        <v>INV-2311-327</v>
      </c>
      <c r="C330" s="31"/>
      <c r="D330" s="16" t="str">
        <f>'Sales Data'!E329</f>
        <v>ED-IND-OQ13E-32</v>
      </c>
      <c r="E330" s="52">
        <f>'Sales Data'!G329</f>
        <v>208</v>
      </c>
      <c r="F330" s="72">
        <f>'Sales Data'!H329</f>
        <v>24</v>
      </c>
      <c r="G330" s="73"/>
      <c r="H330" s="73">
        <f>(InvoiceDetails[[#This Row],[Qty]]*InvoiceDetails[[#This Row],[Unit price]])-InvoiceDetails[[#This Row],[Discount]]</f>
        <v>4992</v>
      </c>
    </row>
    <row r="331" spans="2:8" ht="34.049999999999997" customHeight="1" x14ac:dyDescent="0.3">
      <c r="B331" s="51" t="str">
        <f>'Sales Data'!C330</f>
        <v>INV-2311-328</v>
      </c>
      <c r="C331" s="31"/>
      <c r="D331" s="16" t="str">
        <f>'Sales Data'!E330</f>
        <v>PC-IND-TX59N-57</v>
      </c>
      <c r="E331" s="52">
        <f>'Sales Data'!G330</f>
        <v>246</v>
      </c>
      <c r="F331" s="72">
        <f>'Sales Data'!H330</f>
        <v>29</v>
      </c>
      <c r="G331" s="73"/>
      <c r="H331" s="73">
        <f>(InvoiceDetails[[#This Row],[Qty]]*InvoiceDetails[[#This Row],[Unit price]])-InvoiceDetails[[#This Row],[Discount]]</f>
        <v>7134</v>
      </c>
    </row>
    <row r="332" spans="2:8" ht="34.049999999999997" customHeight="1" x14ac:dyDescent="0.3">
      <c r="B332" s="51" t="str">
        <f>'Sales Data'!C331</f>
        <v>INV-2311-329</v>
      </c>
      <c r="C332" s="31"/>
      <c r="D332" s="16" t="str">
        <f>'Sales Data'!E331</f>
        <v>PC-IND-BK34R-82</v>
      </c>
      <c r="E332" s="52">
        <f>'Sales Data'!G331</f>
        <v>212</v>
      </c>
      <c r="F332" s="72">
        <f>'Sales Data'!H331</f>
        <v>29</v>
      </c>
      <c r="G332" s="73"/>
      <c r="H332" s="73">
        <f>(InvoiceDetails[[#This Row],[Qty]]*InvoiceDetails[[#This Row],[Unit price]])-InvoiceDetails[[#This Row],[Discount]]</f>
        <v>6148</v>
      </c>
    </row>
    <row r="333" spans="2:8" ht="34.049999999999997" customHeight="1" x14ac:dyDescent="0.3">
      <c r="B333" s="51" t="str">
        <f>'Sales Data'!C332</f>
        <v>INV-2311-330</v>
      </c>
      <c r="C333" s="31"/>
      <c r="D333" s="16" t="str">
        <f>'Sales Data'!E332</f>
        <v>ED-IND-DK54G-22</v>
      </c>
      <c r="E333" s="52">
        <f>'Sales Data'!G332</f>
        <v>279</v>
      </c>
      <c r="F333" s="72">
        <f>'Sales Data'!H332</f>
        <v>24</v>
      </c>
      <c r="G333" s="73"/>
      <c r="H333" s="73">
        <f>(InvoiceDetails[[#This Row],[Qty]]*InvoiceDetails[[#This Row],[Unit price]])-InvoiceDetails[[#This Row],[Discount]]</f>
        <v>6696</v>
      </c>
    </row>
    <row r="334" spans="2:8" ht="34.049999999999997" customHeight="1" x14ac:dyDescent="0.3">
      <c r="B334" s="51" t="str">
        <f>'Sales Data'!C333</f>
        <v>INV-2311-331</v>
      </c>
      <c r="C334" s="31"/>
      <c r="D334" s="16" t="str">
        <f>'Sales Data'!E333</f>
        <v>PC-IND-ND54S-18</v>
      </c>
      <c r="E334" s="52">
        <f>'Sales Data'!G333</f>
        <v>209</v>
      </c>
      <c r="F334" s="72">
        <f>'Sales Data'!H333</f>
        <v>27</v>
      </c>
      <c r="G334" s="73"/>
      <c r="H334" s="73">
        <f>(InvoiceDetails[[#This Row],[Qty]]*InvoiceDetails[[#This Row],[Unit price]])-InvoiceDetails[[#This Row],[Discount]]</f>
        <v>5643</v>
      </c>
    </row>
    <row r="335" spans="2:8" ht="34.049999999999997" customHeight="1" x14ac:dyDescent="0.3">
      <c r="B335" s="51" t="str">
        <f>'Sales Data'!C334</f>
        <v>INV-2312-332</v>
      </c>
      <c r="C335" s="31"/>
      <c r="D335" s="16" t="str">
        <f>'Sales Data'!E334</f>
        <v>ED-IND-KQ10A-94</v>
      </c>
      <c r="E335" s="52">
        <f>'Sales Data'!G334</f>
        <v>216</v>
      </c>
      <c r="F335" s="72">
        <f>'Sales Data'!H334</f>
        <v>30</v>
      </c>
      <c r="G335" s="73"/>
      <c r="H335" s="73">
        <f>(InvoiceDetails[[#This Row],[Qty]]*InvoiceDetails[[#This Row],[Unit price]])-InvoiceDetails[[#This Row],[Discount]]</f>
        <v>6480</v>
      </c>
    </row>
    <row r="336" spans="2:8" ht="34.049999999999997" customHeight="1" x14ac:dyDescent="0.3">
      <c r="B336" s="51" t="str">
        <f>'Sales Data'!C335</f>
        <v>INV-2312-333</v>
      </c>
      <c r="C336" s="31"/>
      <c r="D336" s="16" t="str">
        <f>'Sales Data'!E335</f>
        <v>PC-IND-PE93W-55</v>
      </c>
      <c r="E336" s="52">
        <f>'Sales Data'!G335</f>
        <v>286</v>
      </c>
      <c r="F336" s="72">
        <f>'Sales Data'!H335</f>
        <v>29</v>
      </c>
      <c r="G336" s="73"/>
      <c r="H336" s="73">
        <f>(InvoiceDetails[[#This Row],[Qty]]*InvoiceDetails[[#This Row],[Unit price]])-InvoiceDetails[[#This Row],[Discount]]</f>
        <v>8294</v>
      </c>
    </row>
    <row r="337" spans="2:8" ht="34.049999999999997" customHeight="1" x14ac:dyDescent="0.3">
      <c r="B337" s="51" t="str">
        <f>'Sales Data'!C336</f>
        <v>INV-2312-334</v>
      </c>
      <c r="C337" s="31"/>
      <c r="D337" s="16" t="str">
        <f>'Sales Data'!E336</f>
        <v>ED-IND-FP29A-07</v>
      </c>
      <c r="E337" s="52">
        <f>'Sales Data'!G336</f>
        <v>261</v>
      </c>
      <c r="F337" s="72">
        <f>'Sales Data'!H336</f>
        <v>25</v>
      </c>
      <c r="G337" s="73"/>
      <c r="H337" s="73">
        <f>(InvoiceDetails[[#This Row],[Qty]]*InvoiceDetails[[#This Row],[Unit price]])-InvoiceDetails[[#This Row],[Discount]]</f>
        <v>6525</v>
      </c>
    </row>
    <row r="338" spans="2:8" ht="34.049999999999997" customHeight="1" x14ac:dyDescent="0.3">
      <c r="B338" s="51" t="str">
        <f>'Sales Data'!C337</f>
        <v>INV-2312-335</v>
      </c>
      <c r="C338" s="31"/>
      <c r="D338" s="16" t="str">
        <f>'Sales Data'!E337</f>
        <v>ED-IND-TE26U-42</v>
      </c>
      <c r="E338" s="52">
        <f>'Sales Data'!G337</f>
        <v>237</v>
      </c>
      <c r="F338" s="72">
        <f>'Sales Data'!H337</f>
        <v>29</v>
      </c>
      <c r="G338" s="73"/>
      <c r="H338" s="73">
        <f>(InvoiceDetails[[#This Row],[Qty]]*InvoiceDetails[[#This Row],[Unit price]])-InvoiceDetails[[#This Row],[Discount]]</f>
        <v>6873</v>
      </c>
    </row>
    <row r="339" spans="2:8" ht="34.049999999999997" customHeight="1" x14ac:dyDescent="0.3">
      <c r="B339" s="51" t="str">
        <f>'Sales Data'!C338</f>
        <v>INV-2312-336</v>
      </c>
      <c r="C339" s="31"/>
      <c r="D339" s="16" t="str">
        <f>'Sales Data'!E338</f>
        <v>ED-IND-HV78W-96</v>
      </c>
      <c r="E339" s="52">
        <f>'Sales Data'!G338</f>
        <v>253</v>
      </c>
      <c r="F339" s="72">
        <f>'Sales Data'!H338</f>
        <v>31</v>
      </c>
      <c r="G339" s="73"/>
      <c r="H339" s="73">
        <f>(InvoiceDetails[[#This Row],[Qty]]*InvoiceDetails[[#This Row],[Unit price]])-InvoiceDetails[[#This Row],[Discount]]</f>
        <v>7843</v>
      </c>
    </row>
    <row r="340" spans="2:8" ht="34.049999999999997" customHeight="1" x14ac:dyDescent="0.3">
      <c r="B340" s="51" t="str">
        <f>'Sales Data'!C339</f>
        <v>INV-2312-337</v>
      </c>
      <c r="C340" s="31"/>
      <c r="D340" s="16" t="str">
        <f>'Sales Data'!E339</f>
        <v>PC-IND-QE12W-52</v>
      </c>
      <c r="E340" s="52">
        <f>'Sales Data'!G339</f>
        <v>251</v>
      </c>
      <c r="F340" s="72">
        <f>'Sales Data'!H339</f>
        <v>26</v>
      </c>
      <c r="G340" s="73"/>
      <c r="H340" s="73">
        <f>(InvoiceDetails[[#This Row],[Qty]]*InvoiceDetails[[#This Row],[Unit price]])-InvoiceDetails[[#This Row],[Discount]]</f>
        <v>6526</v>
      </c>
    </row>
    <row r="341" spans="2:8" ht="34.049999999999997" customHeight="1" x14ac:dyDescent="0.3">
      <c r="B341" s="51" t="str">
        <f>'Sales Data'!C340</f>
        <v>INV-2312-338</v>
      </c>
      <c r="C341" s="31"/>
      <c r="D341" s="16" t="str">
        <f>'Sales Data'!E340</f>
        <v>ED-IND-AS14F-42</v>
      </c>
      <c r="E341" s="52">
        <f>'Sales Data'!G340</f>
        <v>258</v>
      </c>
      <c r="F341" s="72">
        <f>'Sales Data'!H340</f>
        <v>24</v>
      </c>
      <c r="G341" s="73"/>
      <c r="H341" s="73">
        <f>(InvoiceDetails[[#This Row],[Qty]]*InvoiceDetails[[#This Row],[Unit price]])-InvoiceDetails[[#This Row],[Discount]]</f>
        <v>6192</v>
      </c>
    </row>
    <row r="342" spans="2:8" ht="34.049999999999997" customHeight="1" x14ac:dyDescent="0.3">
      <c r="B342" s="51" t="str">
        <f>'Sales Data'!C341</f>
        <v>INV-2312-339</v>
      </c>
      <c r="C342" s="31"/>
      <c r="D342" s="16" t="str">
        <f>'Sales Data'!E341</f>
        <v>PC-IND-SQ22S-93</v>
      </c>
      <c r="E342" s="52">
        <f>'Sales Data'!G341</f>
        <v>294</v>
      </c>
      <c r="F342" s="72">
        <f>'Sales Data'!H341</f>
        <v>31</v>
      </c>
      <c r="G342" s="73"/>
      <c r="H342" s="73">
        <f>(InvoiceDetails[[#This Row],[Qty]]*InvoiceDetails[[#This Row],[Unit price]])-InvoiceDetails[[#This Row],[Discount]]</f>
        <v>9114</v>
      </c>
    </row>
    <row r="343" spans="2:8" ht="34.049999999999997" customHeight="1" x14ac:dyDescent="0.3">
      <c r="B343" s="51" t="str">
        <f>'Sales Data'!C342</f>
        <v>INV-2312-340</v>
      </c>
      <c r="C343" s="31"/>
      <c r="D343" s="16" t="str">
        <f>'Sales Data'!E342</f>
        <v>ED-IND-GA92N-50</v>
      </c>
      <c r="E343" s="52">
        <f>'Sales Data'!G342</f>
        <v>220</v>
      </c>
      <c r="F343" s="72">
        <f>'Sales Data'!H342</f>
        <v>25</v>
      </c>
      <c r="G343" s="73"/>
      <c r="H343" s="73">
        <f>(InvoiceDetails[[#This Row],[Qty]]*InvoiceDetails[[#This Row],[Unit price]])-InvoiceDetails[[#This Row],[Discount]]</f>
        <v>5500</v>
      </c>
    </row>
    <row r="344" spans="2:8" ht="34.049999999999997" customHeight="1" x14ac:dyDescent="0.3">
      <c r="B344" s="51" t="str">
        <f>'Sales Data'!C343</f>
        <v>INV-2312-341</v>
      </c>
      <c r="C344" s="31"/>
      <c r="D344" s="16" t="str">
        <f>'Sales Data'!E343</f>
        <v>ED-IND-OH84I-36</v>
      </c>
      <c r="E344" s="52">
        <f>'Sales Data'!G343</f>
        <v>265</v>
      </c>
      <c r="F344" s="72">
        <f>'Sales Data'!H343</f>
        <v>31</v>
      </c>
      <c r="G344" s="73"/>
      <c r="H344" s="73">
        <f>(InvoiceDetails[[#This Row],[Qty]]*InvoiceDetails[[#This Row],[Unit price]])-InvoiceDetails[[#This Row],[Discount]]</f>
        <v>8215</v>
      </c>
    </row>
    <row r="345" spans="2:8" ht="34.049999999999997" customHeight="1" x14ac:dyDescent="0.3">
      <c r="B345" s="51" t="str">
        <f>'Sales Data'!C344</f>
        <v>INV-2312-342</v>
      </c>
      <c r="C345" s="31"/>
      <c r="D345" s="16" t="str">
        <f>'Sales Data'!E344</f>
        <v>ED-IND-QQ71B-22</v>
      </c>
      <c r="E345" s="52">
        <f>'Sales Data'!G344</f>
        <v>203</v>
      </c>
      <c r="F345" s="72">
        <f>'Sales Data'!H344</f>
        <v>28</v>
      </c>
      <c r="G345" s="73"/>
      <c r="H345" s="73">
        <f>(InvoiceDetails[[#This Row],[Qty]]*InvoiceDetails[[#This Row],[Unit price]])-InvoiceDetails[[#This Row],[Discount]]</f>
        <v>5684</v>
      </c>
    </row>
    <row r="346" spans="2:8" ht="34.049999999999997" customHeight="1" x14ac:dyDescent="0.3">
      <c r="B346" s="51" t="str">
        <f>'Sales Data'!C345</f>
        <v>INV-2312-343</v>
      </c>
      <c r="C346" s="31"/>
      <c r="D346" s="16" t="str">
        <f>'Sales Data'!E345</f>
        <v>ED-IND-YO64C-37</v>
      </c>
      <c r="E346" s="52">
        <f>'Sales Data'!G345</f>
        <v>207</v>
      </c>
      <c r="F346" s="72">
        <f>'Sales Data'!H345</f>
        <v>24</v>
      </c>
      <c r="G346" s="73"/>
      <c r="H346" s="73">
        <f>(InvoiceDetails[[#This Row],[Qty]]*InvoiceDetails[[#This Row],[Unit price]])-InvoiceDetails[[#This Row],[Discount]]</f>
        <v>4968</v>
      </c>
    </row>
    <row r="347" spans="2:8" ht="34.049999999999997" customHeight="1" x14ac:dyDescent="0.3">
      <c r="B347" s="51" t="str">
        <f>'Sales Data'!C346</f>
        <v>INV-2312-344</v>
      </c>
      <c r="C347" s="31"/>
      <c r="D347" s="16" t="str">
        <f>'Sales Data'!E346</f>
        <v>ED-IND-CS82V-04</v>
      </c>
      <c r="E347" s="52">
        <f>'Sales Data'!G346</f>
        <v>299</v>
      </c>
      <c r="F347" s="72">
        <f>'Sales Data'!H346</f>
        <v>23</v>
      </c>
      <c r="G347" s="73"/>
      <c r="H347" s="73">
        <f>(InvoiceDetails[[#This Row],[Qty]]*InvoiceDetails[[#This Row],[Unit price]])-InvoiceDetails[[#This Row],[Discount]]</f>
        <v>6877</v>
      </c>
    </row>
    <row r="348" spans="2:8" ht="34.049999999999997" customHeight="1" x14ac:dyDescent="0.3">
      <c r="B348" s="51" t="str">
        <f>'Sales Data'!C347</f>
        <v>INV-2312-345</v>
      </c>
      <c r="C348" s="31"/>
      <c r="D348" s="16" t="str">
        <f>'Sales Data'!E347</f>
        <v>ED-IND-MQ45D-68</v>
      </c>
      <c r="E348" s="52">
        <f>'Sales Data'!G347</f>
        <v>268</v>
      </c>
      <c r="F348" s="72">
        <f>'Sales Data'!H347</f>
        <v>30</v>
      </c>
      <c r="G348" s="73"/>
      <c r="H348" s="73">
        <f>(InvoiceDetails[[#This Row],[Qty]]*InvoiceDetails[[#This Row],[Unit price]])-InvoiceDetails[[#This Row],[Discount]]</f>
        <v>8040</v>
      </c>
    </row>
    <row r="349" spans="2:8" ht="34.049999999999997" customHeight="1" x14ac:dyDescent="0.3">
      <c r="B349" s="51" t="str">
        <f>'Sales Data'!C348</f>
        <v>INV-2312-346</v>
      </c>
      <c r="C349" s="31"/>
      <c r="D349" s="16" t="str">
        <f>'Sales Data'!E348</f>
        <v>ED-IND-SQ15N-67</v>
      </c>
      <c r="E349" s="52">
        <f>'Sales Data'!G348</f>
        <v>223</v>
      </c>
      <c r="F349" s="72">
        <f>'Sales Data'!H348</f>
        <v>25</v>
      </c>
      <c r="G349" s="73"/>
      <c r="H349" s="73">
        <f>(InvoiceDetails[[#This Row],[Qty]]*InvoiceDetails[[#This Row],[Unit price]])-InvoiceDetails[[#This Row],[Discount]]</f>
        <v>5575</v>
      </c>
    </row>
    <row r="350" spans="2:8" ht="34.049999999999997" customHeight="1" x14ac:dyDescent="0.3">
      <c r="B350" s="51" t="str">
        <f>'Sales Data'!C349</f>
        <v>INV-2312-347</v>
      </c>
      <c r="C350" s="31"/>
      <c r="D350" s="16" t="str">
        <f>'Sales Data'!E349</f>
        <v>PC-IND-CS11U-81</v>
      </c>
      <c r="E350" s="52">
        <f>'Sales Data'!G349</f>
        <v>269</v>
      </c>
      <c r="F350" s="72">
        <f>'Sales Data'!H349</f>
        <v>26</v>
      </c>
      <c r="G350" s="73"/>
      <c r="H350" s="73">
        <f>(InvoiceDetails[[#This Row],[Qty]]*InvoiceDetails[[#This Row],[Unit price]])-InvoiceDetails[[#This Row],[Discount]]</f>
        <v>6994</v>
      </c>
    </row>
    <row r="351" spans="2:8" ht="34.049999999999997" customHeight="1" x14ac:dyDescent="0.3">
      <c r="B351" s="51" t="str">
        <f>'Sales Data'!C350</f>
        <v>INV-2312-348</v>
      </c>
      <c r="C351" s="31"/>
      <c r="D351" s="16" t="str">
        <f>'Sales Data'!E350</f>
        <v>PC-IND-BL98D-55</v>
      </c>
      <c r="E351" s="52">
        <f>'Sales Data'!G350</f>
        <v>253</v>
      </c>
      <c r="F351" s="72">
        <f>'Sales Data'!H350</f>
        <v>30</v>
      </c>
      <c r="G351" s="73"/>
      <c r="H351" s="73">
        <f>(InvoiceDetails[[#This Row],[Qty]]*InvoiceDetails[[#This Row],[Unit price]])-InvoiceDetails[[#This Row],[Discount]]</f>
        <v>7590</v>
      </c>
    </row>
    <row r="352" spans="2:8" ht="34.049999999999997" customHeight="1" x14ac:dyDescent="0.3">
      <c r="B352" s="51" t="str">
        <f>'Sales Data'!C351</f>
        <v>INV-2312-349</v>
      </c>
      <c r="C352" s="31"/>
      <c r="D352" s="16" t="str">
        <f>'Sales Data'!E351</f>
        <v>ED-IND-FU33N-93</v>
      </c>
      <c r="E352" s="52">
        <f>'Sales Data'!G351</f>
        <v>206</v>
      </c>
      <c r="F352" s="72">
        <f>'Sales Data'!H351</f>
        <v>22</v>
      </c>
      <c r="G352" s="73"/>
      <c r="H352" s="73">
        <f>(InvoiceDetails[[#This Row],[Qty]]*InvoiceDetails[[#This Row],[Unit price]])-InvoiceDetails[[#This Row],[Discount]]</f>
        <v>4532</v>
      </c>
    </row>
    <row r="353" spans="2:8" ht="34.049999999999997" customHeight="1" x14ac:dyDescent="0.3">
      <c r="B353" s="51" t="str">
        <f>'Sales Data'!C352</f>
        <v>INV-2312-350</v>
      </c>
      <c r="C353" s="31"/>
      <c r="D353" s="16" t="str">
        <f>'Sales Data'!E352</f>
        <v>ED-IND-AA98Z-93</v>
      </c>
      <c r="E353" s="52">
        <f>'Sales Data'!G352</f>
        <v>225</v>
      </c>
      <c r="F353" s="72">
        <f>'Sales Data'!H352</f>
        <v>31</v>
      </c>
      <c r="G353" s="73"/>
      <c r="H353" s="73">
        <f>(InvoiceDetails[[#This Row],[Qty]]*InvoiceDetails[[#This Row],[Unit price]])-InvoiceDetails[[#This Row],[Discount]]</f>
        <v>6975</v>
      </c>
    </row>
    <row r="354" spans="2:8" ht="34.049999999999997" customHeight="1" x14ac:dyDescent="0.3">
      <c r="B354" s="51" t="str">
        <f>'Sales Data'!C353</f>
        <v>INV-2312-351</v>
      </c>
      <c r="C354" s="31"/>
      <c r="D354" s="16" t="str">
        <f>'Sales Data'!E353</f>
        <v>ED-IND-NN91W-42</v>
      </c>
      <c r="E354" s="52">
        <f>'Sales Data'!G353</f>
        <v>260</v>
      </c>
      <c r="F354" s="72">
        <f>'Sales Data'!H353</f>
        <v>30</v>
      </c>
      <c r="G354" s="73"/>
      <c r="H354" s="73">
        <f>(InvoiceDetails[[#This Row],[Qty]]*InvoiceDetails[[#This Row],[Unit price]])-InvoiceDetails[[#This Row],[Discount]]</f>
        <v>7800</v>
      </c>
    </row>
    <row r="355" spans="2:8" ht="34.049999999999997" customHeight="1" x14ac:dyDescent="0.3">
      <c r="B355" s="51" t="str">
        <f>'Sales Data'!C354</f>
        <v>INV-2312-352</v>
      </c>
      <c r="C355" s="31"/>
      <c r="D355" s="16" t="str">
        <f>'Sales Data'!E354</f>
        <v>ED-IND-XN78O-43</v>
      </c>
      <c r="E355" s="52">
        <f>'Sales Data'!G354</f>
        <v>224</v>
      </c>
      <c r="F355" s="72">
        <f>'Sales Data'!H354</f>
        <v>29</v>
      </c>
      <c r="G355" s="73"/>
      <c r="H355" s="73">
        <f>(InvoiceDetails[[#This Row],[Qty]]*InvoiceDetails[[#This Row],[Unit price]])-InvoiceDetails[[#This Row],[Discount]]</f>
        <v>6496</v>
      </c>
    </row>
    <row r="356" spans="2:8" ht="34.049999999999997" customHeight="1" x14ac:dyDescent="0.3">
      <c r="B356" s="51" t="str">
        <f>'Sales Data'!C355</f>
        <v>INV-2312-353</v>
      </c>
      <c r="C356" s="31"/>
      <c r="D356" s="16" t="str">
        <f>'Sales Data'!E355</f>
        <v>PC-IND-GD43S-75</v>
      </c>
      <c r="E356" s="52">
        <f>'Sales Data'!G355</f>
        <v>224</v>
      </c>
      <c r="F356" s="72">
        <f>'Sales Data'!H355</f>
        <v>24</v>
      </c>
      <c r="G356" s="73"/>
      <c r="H356" s="73">
        <f>(InvoiceDetails[[#This Row],[Qty]]*InvoiceDetails[[#This Row],[Unit price]])-InvoiceDetails[[#This Row],[Discount]]</f>
        <v>5376</v>
      </c>
    </row>
    <row r="357" spans="2:8" ht="34.049999999999997" customHeight="1" x14ac:dyDescent="0.3">
      <c r="B357" s="51" t="str">
        <f>'Sales Data'!C356</f>
        <v>INV-2312-354</v>
      </c>
      <c r="C357" s="31"/>
      <c r="D357" s="16" t="str">
        <f>'Sales Data'!E356</f>
        <v>ED-IND-RP87E-28</v>
      </c>
      <c r="E357" s="52">
        <f>'Sales Data'!G356</f>
        <v>205</v>
      </c>
      <c r="F357" s="72">
        <f>'Sales Data'!H356</f>
        <v>26</v>
      </c>
      <c r="G357" s="73"/>
      <c r="H357" s="73">
        <f>(InvoiceDetails[[#This Row],[Qty]]*InvoiceDetails[[#This Row],[Unit price]])-InvoiceDetails[[#This Row],[Discount]]</f>
        <v>5330</v>
      </c>
    </row>
    <row r="358" spans="2:8" ht="34.049999999999997" customHeight="1" x14ac:dyDescent="0.3">
      <c r="B358" s="51" t="str">
        <f>'Sales Data'!C357</f>
        <v>INV-2312-355</v>
      </c>
      <c r="C358" s="31"/>
      <c r="D358" s="16" t="str">
        <f>'Sales Data'!E357</f>
        <v>ED-IND-VN51L-36</v>
      </c>
      <c r="E358" s="52">
        <f>'Sales Data'!G357</f>
        <v>278</v>
      </c>
      <c r="F358" s="72">
        <f>'Sales Data'!H357</f>
        <v>21</v>
      </c>
      <c r="G358" s="73"/>
      <c r="H358" s="73">
        <f>(InvoiceDetails[[#This Row],[Qty]]*InvoiceDetails[[#This Row],[Unit price]])-InvoiceDetails[[#This Row],[Discount]]</f>
        <v>5838</v>
      </c>
    </row>
    <row r="359" spans="2:8" ht="34.049999999999997" customHeight="1" x14ac:dyDescent="0.3">
      <c r="B359" s="51" t="str">
        <f>'Sales Data'!C358</f>
        <v>INV-2312-356</v>
      </c>
      <c r="C359" s="31"/>
      <c r="D359" s="16" t="str">
        <f>'Sales Data'!E358</f>
        <v>PC-IND-HF17O-95</v>
      </c>
      <c r="E359" s="52">
        <f>'Sales Data'!G358</f>
        <v>261</v>
      </c>
      <c r="F359" s="72">
        <f>'Sales Data'!H358</f>
        <v>25</v>
      </c>
      <c r="G359" s="73"/>
      <c r="H359" s="73">
        <f>(InvoiceDetails[[#This Row],[Qty]]*InvoiceDetails[[#This Row],[Unit price]])-InvoiceDetails[[#This Row],[Discount]]</f>
        <v>6525</v>
      </c>
    </row>
    <row r="360" spans="2:8" ht="34.049999999999997" customHeight="1" x14ac:dyDescent="0.3">
      <c r="B360" s="51" t="str">
        <f>'Sales Data'!C359</f>
        <v>INV-2312-357</v>
      </c>
      <c r="C360" s="31"/>
      <c r="D360" s="16" t="str">
        <f>'Sales Data'!E359</f>
        <v>PC-IND-PC69J-06</v>
      </c>
      <c r="E360" s="52">
        <f>'Sales Data'!G359</f>
        <v>235</v>
      </c>
      <c r="F360" s="72">
        <f>'Sales Data'!H359</f>
        <v>27</v>
      </c>
      <c r="G360" s="73"/>
      <c r="H360" s="73">
        <f>(InvoiceDetails[[#This Row],[Qty]]*InvoiceDetails[[#This Row],[Unit price]])-InvoiceDetails[[#This Row],[Discount]]</f>
        <v>6345</v>
      </c>
    </row>
    <row r="361" spans="2:8" ht="34.049999999999997" customHeight="1" x14ac:dyDescent="0.3">
      <c r="B361" s="51" t="str">
        <f>'Sales Data'!C360</f>
        <v>INV-2312-358</v>
      </c>
      <c r="C361" s="31"/>
      <c r="D361" s="16" t="str">
        <f>'Sales Data'!E360</f>
        <v>ED-IND-JO61C-83</v>
      </c>
      <c r="E361" s="52">
        <f>'Sales Data'!G360</f>
        <v>300</v>
      </c>
      <c r="F361" s="72">
        <f>'Sales Data'!H360</f>
        <v>26</v>
      </c>
      <c r="G361" s="73"/>
      <c r="H361" s="73">
        <f>(InvoiceDetails[[#This Row],[Qty]]*InvoiceDetails[[#This Row],[Unit price]])-InvoiceDetails[[#This Row],[Discount]]</f>
        <v>7800</v>
      </c>
    </row>
    <row r="362" spans="2:8" ht="34.049999999999997" customHeight="1" x14ac:dyDescent="0.3">
      <c r="B362" s="51" t="str">
        <f>'Sales Data'!C361</f>
        <v>INV-2312-359</v>
      </c>
      <c r="C362" s="31"/>
      <c r="D362" s="16" t="str">
        <f>'Sales Data'!E361</f>
        <v>ED-IND-NP64E-24</v>
      </c>
      <c r="E362" s="52">
        <f>'Sales Data'!G361</f>
        <v>208</v>
      </c>
      <c r="F362" s="72">
        <f>'Sales Data'!H361</f>
        <v>22</v>
      </c>
      <c r="G362" s="73"/>
      <c r="H362" s="73">
        <f>(InvoiceDetails[[#This Row],[Qty]]*InvoiceDetails[[#This Row],[Unit price]])-InvoiceDetails[[#This Row],[Discount]]</f>
        <v>4576</v>
      </c>
    </row>
    <row r="363" spans="2:8" ht="34.049999999999997" customHeight="1" x14ac:dyDescent="0.3">
      <c r="B363" s="51" t="str">
        <f>'Sales Data'!C362</f>
        <v>INV-2312-360</v>
      </c>
      <c r="C363" s="31"/>
      <c r="D363" s="16" t="str">
        <f>'Sales Data'!E362</f>
        <v>ED-IND-GB73G-89</v>
      </c>
      <c r="E363" s="52">
        <f>'Sales Data'!G362</f>
        <v>295</v>
      </c>
      <c r="F363" s="72">
        <f>'Sales Data'!H362</f>
        <v>30</v>
      </c>
      <c r="G363" s="73"/>
      <c r="H363" s="73">
        <f>(InvoiceDetails[[#This Row],[Qty]]*InvoiceDetails[[#This Row],[Unit price]])-InvoiceDetails[[#This Row],[Discount]]</f>
        <v>8850</v>
      </c>
    </row>
    <row r="364" spans="2:8" ht="34.049999999999997" customHeight="1" x14ac:dyDescent="0.3">
      <c r="B364" s="51" t="str">
        <f>'Sales Data'!C363</f>
        <v>INV-2312-361</v>
      </c>
      <c r="C364" s="31"/>
      <c r="D364" s="16" t="str">
        <f>'Sales Data'!E363</f>
        <v>ED-IND-KQ11J-23</v>
      </c>
      <c r="E364" s="52">
        <f>'Sales Data'!G363</f>
        <v>203</v>
      </c>
      <c r="F364" s="72">
        <f>'Sales Data'!H363</f>
        <v>29</v>
      </c>
      <c r="G364" s="73"/>
      <c r="H364" s="73">
        <f>(InvoiceDetails[[#This Row],[Qty]]*InvoiceDetails[[#This Row],[Unit price]])-InvoiceDetails[[#This Row],[Discount]]</f>
        <v>5887</v>
      </c>
    </row>
    <row r="365" spans="2:8" ht="34.049999999999997" customHeight="1" x14ac:dyDescent="0.3">
      <c r="B365" s="51" t="str">
        <f>'Sales Data'!C364</f>
        <v>INV-2312-362</v>
      </c>
      <c r="C365" s="31"/>
      <c r="D365" s="16" t="str">
        <f>'Sales Data'!E364</f>
        <v>ED-IND-CK50Z-55</v>
      </c>
      <c r="E365" s="52">
        <f>'Sales Data'!G364</f>
        <v>203</v>
      </c>
      <c r="F365" s="72">
        <f>'Sales Data'!H364</f>
        <v>28</v>
      </c>
      <c r="G365" s="73"/>
      <c r="H365" s="73">
        <f>(InvoiceDetails[[#This Row],[Qty]]*InvoiceDetails[[#This Row],[Unit price]])-InvoiceDetails[[#This Row],[Discount]]</f>
        <v>5684</v>
      </c>
    </row>
    <row r="366" spans="2:8" ht="34.049999999999997" customHeight="1" x14ac:dyDescent="0.3">
      <c r="B366" s="51" t="str">
        <f>'Sales Data'!C365</f>
        <v>INV-2401-363</v>
      </c>
      <c r="C366" s="31"/>
      <c r="D366" s="16" t="str">
        <f>'Sales Data'!E365</f>
        <v>PC-IND-TH16V-28</v>
      </c>
      <c r="E366" s="52">
        <f>'Sales Data'!G365</f>
        <v>914</v>
      </c>
      <c r="F366" s="72">
        <f>'Sales Data'!H365</f>
        <v>21</v>
      </c>
      <c r="G366" s="73"/>
      <c r="H366" s="73">
        <f>(InvoiceDetails[[#This Row],[Qty]]*InvoiceDetails[[#This Row],[Unit price]])-InvoiceDetails[[#This Row],[Discount]]</f>
        <v>19194</v>
      </c>
    </row>
    <row r="367" spans="2:8" ht="34.049999999999997" customHeight="1" x14ac:dyDescent="0.3">
      <c r="B367" s="51" t="str">
        <f>'Sales Data'!C366</f>
        <v>INV-2401-364</v>
      </c>
      <c r="C367" s="31"/>
      <c r="D367" s="16" t="str">
        <f>'Sales Data'!E366</f>
        <v>ED-IND-CK35Q-03</v>
      </c>
      <c r="E367" s="52">
        <f>'Sales Data'!G366</f>
        <v>592</v>
      </c>
      <c r="F367" s="72">
        <f>'Sales Data'!H366</f>
        <v>27</v>
      </c>
      <c r="G367" s="73"/>
      <c r="H367" s="73">
        <f>(InvoiceDetails[[#This Row],[Qty]]*InvoiceDetails[[#This Row],[Unit price]])-InvoiceDetails[[#This Row],[Discount]]</f>
        <v>15984</v>
      </c>
    </row>
    <row r="368" spans="2:8" ht="34.049999999999997" customHeight="1" x14ac:dyDescent="0.3">
      <c r="B368" s="51" t="str">
        <f>'Sales Data'!C367</f>
        <v>INV-2401-365</v>
      </c>
      <c r="C368" s="31"/>
      <c r="D368" s="16" t="str">
        <f>'Sales Data'!E367</f>
        <v>ED-IND-CH49W-59</v>
      </c>
      <c r="E368" s="52">
        <f>'Sales Data'!G367</f>
        <v>913</v>
      </c>
      <c r="F368" s="72">
        <f>'Sales Data'!H367</f>
        <v>28</v>
      </c>
      <c r="G368" s="73"/>
      <c r="H368" s="73">
        <f>(InvoiceDetails[[#This Row],[Qty]]*InvoiceDetails[[#This Row],[Unit price]])-InvoiceDetails[[#This Row],[Discount]]</f>
        <v>25564</v>
      </c>
    </row>
    <row r="369" spans="2:8" ht="34.049999999999997" customHeight="1" x14ac:dyDescent="0.3">
      <c r="B369" s="51" t="str">
        <f>'Sales Data'!C368</f>
        <v>INV-2401-366</v>
      </c>
      <c r="C369" s="31"/>
      <c r="D369" s="16" t="str">
        <f>'Sales Data'!E368</f>
        <v>ED-IND-SG48S-35</v>
      </c>
      <c r="E369" s="52">
        <f>'Sales Data'!G368</f>
        <v>682</v>
      </c>
      <c r="F369" s="72">
        <f>'Sales Data'!H368</f>
        <v>29</v>
      </c>
      <c r="G369" s="73"/>
      <c r="H369" s="73">
        <f>(InvoiceDetails[[#This Row],[Qty]]*InvoiceDetails[[#This Row],[Unit price]])-InvoiceDetails[[#This Row],[Discount]]</f>
        <v>19778</v>
      </c>
    </row>
    <row r="370" spans="2:8" ht="34.049999999999997" customHeight="1" x14ac:dyDescent="0.3">
      <c r="B370" s="51" t="str">
        <f>'Sales Data'!C369</f>
        <v>INV-2401-367</v>
      </c>
      <c r="C370" s="31"/>
      <c r="D370" s="16" t="str">
        <f>'Sales Data'!E369</f>
        <v>PC-IND-CL24B-65</v>
      </c>
      <c r="E370" s="52">
        <f>'Sales Data'!G369</f>
        <v>956</v>
      </c>
      <c r="F370" s="72">
        <f>'Sales Data'!H369</f>
        <v>28</v>
      </c>
      <c r="G370" s="73"/>
      <c r="H370" s="73">
        <f>(InvoiceDetails[[#This Row],[Qty]]*InvoiceDetails[[#This Row],[Unit price]])-InvoiceDetails[[#This Row],[Discount]]</f>
        <v>26768</v>
      </c>
    </row>
    <row r="371" spans="2:8" ht="34.049999999999997" customHeight="1" x14ac:dyDescent="0.3">
      <c r="B371" s="51" t="str">
        <f>'Sales Data'!C370</f>
        <v>INV-2401-368</v>
      </c>
      <c r="C371" s="31"/>
      <c r="D371" s="16" t="str">
        <f>'Sales Data'!E370</f>
        <v>ED-IND-WH42Q-32</v>
      </c>
      <c r="E371" s="52">
        <f>'Sales Data'!G370</f>
        <v>540</v>
      </c>
      <c r="F371" s="72">
        <f>'Sales Data'!H370</f>
        <v>30</v>
      </c>
      <c r="G371" s="73"/>
      <c r="H371" s="73">
        <f>(InvoiceDetails[[#This Row],[Qty]]*InvoiceDetails[[#This Row],[Unit price]])-InvoiceDetails[[#This Row],[Discount]]</f>
        <v>16200</v>
      </c>
    </row>
    <row r="372" spans="2:8" ht="34.049999999999997" customHeight="1" x14ac:dyDescent="0.3">
      <c r="B372" s="51" t="str">
        <f>'Sales Data'!C371</f>
        <v>INV-2401-369</v>
      </c>
      <c r="C372" s="31"/>
      <c r="D372" s="16" t="str">
        <f>'Sales Data'!E371</f>
        <v>PC-IND-ST10Y-44</v>
      </c>
      <c r="E372" s="52">
        <f>'Sales Data'!G371</f>
        <v>852</v>
      </c>
      <c r="F372" s="72">
        <f>'Sales Data'!H371</f>
        <v>21</v>
      </c>
      <c r="G372" s="73"/>
      <c r="H372" s="73">
        <f>(InvoiceDetails[[#This Row],[Qty]]*InvoiceDetails[[#This Row],[Unit price]])-InvoiceDetails[[#This Row],[Discount]]</f>
        <v>17892</v>
      </c>
    </row>
    <row r="373" spans="2:8" ht="34.049999999999997" customHeight="1" x14ac:dyDescent="0.3">
      <c r="B373" s="51" t="str">
        <f>'Sales Data'!C372</f>
        <v>INV-2401-370</v>
      </c>
      <c r="C373" s="31"/>
      <c r="D373" s="16" t="str">
        <f>'Sales Data'!E372</f>
        <v>PC-IND-VT15K-43</v>
      </c>
      <c r="E373" s="52">
        <f>'Sales Data'!G372</f>
        <v>673</v>
      </c>
      <c r="F373" s="72">
        <f>'Sales Data'!H372</f>
        <v>21</v>
      </c>
      <c r="G373" s="73"/>
      <c r="H373" s="73">
        <f>(InvoiceDetails[[#This Row],[Qty]]*InvoiceDetails[[#This Row],[Unit price]])-InvoiceDetails[[#This Row],[Discount]]</f>
        <v>14133</v>
      </c>
    </row>
    <row r="374" spans="2:8" ht="34.049999999999997" customHeight="1" x14ac:dyDescent="0.3">
      <c r="B374" s="51" t="str">
        <f>'Sales Data'!C373</f>
        <v>INV-2401-371</v>
      </c>
      <c r="C374" s="31"/>
      <c r="D374" s="16" t="str">
        <f>'Sales Data'!E373</f>
        <v>PC-IND-CS19L-16</v>
      </c>
      <c r="E374" s="52">
        <f>'Sales Data'!G373</f>
        <v>807</v>
      </c>
      <c r="F374" s="72">
        <f>'Sales Data'!H373</f>
        <v>25</v>
      </c>
      <c r="G374" s="73"/>
      <c r="H374" s="73">
        <f>(InvoiceDetails[[#This Row],[Qty]]*InvoiceDetails[[#This Row],[Unit price]])-InvoiceDetails[[#This Row],[Discount]]</f>
        <v>20175</v>
      </c>
    </row>
    <row r="375" spans="2:8" ht="34.049999999999997" customHeight="1" x14ac:dyDescent="0.3">
      <c r="B375" s="51" t="str">
        <f>'Sales Data'!C374</f>
        <v>INV-2401-372</v>
      </c>
      <c r="C375" s="31"/>
      <c r="D375" s="16" t="str">
        <f>'Sales Data'!E374</f>
        <v>ED-IND-KS21T-93</v>
      </c>
      <c r="E375" s="52">
        <f>'Sales Data'!G374</f>
        <v>643</v>
      </c>
      <c r="F375" s="72">
        <f>'Sales Data'!H374</f>
        <v>22</v>
      </c>
      <c r="G375" s="73"/>
      <c r="H375" s="73">
        <f>(InvoiceDetails[[#This Row],[Qty]]*InvoiceDetails[[#This Row],[Unit price]])-InvoiceDetails[[#This Row],[Discount]]</f>
        <v>14146</v>
      </c>
    </row>
    <row r="376" spans="2:8" ht="34.049999999999997" customHeight="1" x14ac:dyDescent="0.3">
      <c r="B376" s="51" t="str">
        <f>'Sales Data'!C375</f>
        <v>INV-2401-373</v>
      </c>
      <c r="C376" s="31"/>
      <c r="D376" s="16" t="str">
        <f>'Sales Data'!E375</f>
        <v>ED-IND-KA81H-18</v>
      </c>
      <c r="E376" s="52">
        <f>'Sales Data'!G375</f>
        <v>943</v>
      </c>
      <c r="F376" s="72">
        <f>'Sales Data'!H375</f>
        <v>28</v>
      </c>
      <c r="G376" s="73"/>
      <c r="H376" s="73">
        <f>(InvoiceDetails[[#This Row],[Qty]]*InvoiceDetails[[#This Row],[Unit price]])-InvoiceDetails[[#This Row],[Discount]]</f>
        <v>26404</v>
      </c>
    </row>
    <row r="377" spans="2:8" ht="34.049999999999997" customHeight="1" x14ac:dyDescent="0.3">
      <c r="B377" s="51" t="str">
        <f>'Sales Data'!C376</f>
        <v>INV-2401-374</v>
      </c>
      <c r="C377" s="31"/>
      <c r="D377" s="16" t="str">
        <f>'Sales Data'!E376</f>
        <v>PC-IND-SY54Z-36</v>
      </c>
      <c r="E377" s="52">
        <f>'Sales Data'!G376</f>
        <v>864</v>
      </c>
      <c r="F377" s="72">
        <f>'Sales Data'!H376</f>
        <v>21</v>
      </c>
      <c r="G377" s="73"/>
      <c r="H377" s="73">
        <f>(InvoiceDetails[[#This Row],[Qty]]*InvoiceDetails[[#This Row],[Unit price]])-InvoiceDetails[[#This Row],[Discount]]</f>
        <v>18144</v>
      </c>
    </row>
    <row r="378" spans="2:8" ht="34.049999999999997" customHeight="1" x14ac:dyDescent="0.3">
      <c r="B378" s="51" t="str">
        <f>'Sales Data'!C377</f>
        <v>INV-2401-375</v>
      </c>
      <c r="C378" s="31"/>
      <c r="D378" s="16" t="str">
        <f>'Sales Data'!E377</f>
        <v>ED-IND-UH50A-20</v>
      </c>
      <c r="E378" s="52">
        <f>'Sales Data'!G377</f>
        <v>590</v>
      </c>
      <c r="F378" s="72">
        <f>'Sales Data'!H377</f>
        <v>23</v>
      </c>
      <c r="G378" s="73"/>
      <c r="H378" s="73">
        <f>(InvoiceDetails[[#This Row],[Qty]]*InvoiceDetails[[#This Row],[Unit price]])-InvoiceDetails[[#This Row],[Discount]]</f>
        <v>13570</v>
      </c>
    </row>
    <row r="379" spans="2:8" ht="34.049999999999997" customHeight="1" x14ac:dyDescent="0.3">
      <c r="B379" s="51" t="str">
        <f>'Sales Data'!C378</f>
        <v>INV-2401-376</v>
      </c>
      <c r="C379" s="31"/>
      <c r="D379" s="16" t="str">
        <f>'Sales Data'!E378</f>
        <v>PC-IND-IZ64F-87</v>
      </c>
      <c r="E379" s="52">
        <f>'Sales Data'!G378</f>
        <v>522</v>
      </c>
      <c r="F379" s="72">
        <f>'Sales Data'!H378</f>
        <v>22</v>
      </c>
      <c r="G379" s="73"/>
      <c r="H379" s="73">
        <f>(InvoiceDetails[[#This Row],[Qty]]*InvoiceDetails[[#This Row],[Unit price]])-InvoiceDetails[[#This Row],[Discount]]</f>
        <v>11484</v>
      </c>
    </row>
    <row r="380" spans="2:8" ht="34.049999999999997" customHeight="1" x14ac:dyDescent="0.3">
      <c r="B380" s="51" t="str">
        <f>'Sales Data'!C379</f>
        <v>INV-2401-377</v>
      </c>
      <c r="C380" s="31"/>
      <c r="D380" s="16" t="str">
        <f>'Sales Data'!E379</f>
        <v>ED-IND-AS92B-02</v>
      </c>
      <c r="E380" s="52">
        <f>'Sales Data'!G379</f>
        <v>663</v>
      </c>
      <c r="F380" s="72">
        <f>'Sales Data'!H379</f>
        <v>21</v>
      </c>
      <c r="G380" s="73"/>
      <c r="H380" s="73">
        <f>(InvoiceDetails[[#This Row],[Qty]]*InvoiceDetails[[#This Row],[Unit price]])-InvoiceDetails[[#This Row],[Discount]]</f>
        <v>13923</v>
      </c>
    </row>
    <row r="381" spans="2:8" ht="34.049999999999997" customHeight="1" x14ac:dyDescent="0.3">
      <c r="B381" s="51" t="str">
        <f>'Sales Data'!C380</f>
        <v>INV-2401-378</v>
      </c>
      <c r="C381" s="31"/>
      <c r="D381" s="16" t="str">
        <f>'Sales Data'!E380</f>
        <v>ED-IND-SR73W-14</v>
      </c>
      <c r="E381" s="52">
        <f>'Sales Data'!G380</f>
        <v>509</v>
      </c>
      <c r="F381" s="72">
        <f>'Sales Data'!H380</f>
        <v>25</v>
      </c>
      <c r="G381" s="73"/>
      <c r="H381" s="73">
        <f>(InvoiceDetails[[#This Row],[Qty]]*InvoiceDetails[[#This Row],[Unit price]])-InvoiceDetails[[#This Row],[Discount]]</f>
        <v>12725</v>
      </c>
    </row>
    <row r="382" spans="2:8" ht="34.049999999999997" customHeight="1" x14ac:dyDescent="0.3">
      <c r="B382" s="51" t="str">
        <f>'Sales Data'!C381</f>
        <v>INV-2401-379</v>
      </c>
      <c r="C382" s="31"/>
      <c r="D382" s="16" t="str">
        <f>'Sales Data'!E381</f>
        <v>ED-IND-FC90H-79</v>
      </c>
      <c r="E382" s="52">
        <f>'Sales Data'!G381</f>
        <v>698</v>
      </c>
      <c r="F382" s="72">
        <f>'Sales Data'!H381</f>
        <v>30</v>
      </c>
      <c r="G382" s="73"/>
      <c r="H382" s="73">
        <f>(InvoiceDetails[[#This Row],[Qty]]*InvoiceDetails[[#This Row],[Unit price]])-InvoiceDetails[[#This Row],[Discount]]</f>
        <v>20940</v>
      </c>
    </row>
    <row r="383" spans="2:8" ht="34.049999999999997" customHeight="1" x14ac:dyDescent="0.3">
      <c r="B383" s="51" t="str">
        <f>'Sales Data'!C382</f>
        <v>INV-2401-380</v>
      </c>
      <c r="C383" s="31"/>
      <c r="D383" s="16" t="str">
        <f>'Sales Data'!E382</f>
        <v>PC-IND-LQ61T-42</v>
      </c>
      <c r="E383" s="52">
        <f>'Sales Data'!G382</f>
        <v>874</v>
      </c>
      <c r="F383" s="72">
        <f>'Sales Data'!H382</f>
        <v>25</v>
      </c>
      <c r="G383" s="73"/>
      <c r="H383" s="73">
        <f>(InvoiceDetails[[#This Row],[Qty]]*InvoiceDetails[[#This Row],[Unit price]])-InvoiceDetails[[#This Row],[Discount]]</f>
        <v>21850</v>
      </c>
    </row>
    <row r="384" spans="2:8" ht="34.049999999999997" customHeight="1" x14ac:dyDescent="0.3">
      <c r="B384" s="51" t="str">
        <f>'Sales Data'!C383</f>
        <v>INV-2401-381</v>
      </c>
      <c r="C384" s="31"/>
      <c r="D384" s="16" t="str">
        <f>'Sales Data'!E383</f>
        <v>ED-IND-XR40M-51</v>
      </c>
      <c r="E384" s="52">
        <f>'Sales Data'!G383</f>
        <v>861</v>
      </c>
      <c r="F384" s="72">
        <f>'Sales Data'!H383</f>
        <v>26</v>
      </c>
      <c r="G384" s="73"/>
      <c r="H384" s="73">
        <f>(InvoiceDetails[[#This Row],[Qty]]*InvoiceDetails[[#This Row],[Unit price]])-InvoiceDetails[[#This Row],[Discount]]</f>
        <v>22386</v>
      </c>
    </row>
    <row r="385" spans="2:8" ht="34.049999999999997" customHeight="1" x14ac:dyDescent="0.3">
      <c r="B385" s="51" t="str">
        <f>'Sales Data'!C384</f>
        <v>INV-2401-382</v>
      </c>
      <c r="C385" s="31"/>
      <c r="D385" s="16" t="str">
        <f>'Sales Data'!E384</f>
        <v>ED-IND-UZ25P-12</v>
      </c>
      <c r="E385" s="52">
        <f>'Sales Data'!G384</f>
        <v>834</v>
      </c>
      <c r="F385" s="72">
        <f>'Sales Data'!H384</f>
        <v>25</v>
      </c>
      <c r="G385" s="73"/>
      <c r="H385" s="73">
        <f>(InvoiceDetails[[#This Row],[Qty]]*InvoiceDetails[[#This Row],[Unit price]])-InvoiceDetails[[#This Row],[Discount]]</f>
        <v>20850</v>
      </c>
    </row>
    <row r="386" spans="2:8" ht="34.049999999999997" customHeight="1" x14ac:dyDescent="0.3">
      <c r="B386" s="51" t="str">
        <f>'Sales Data'!C385</f>
        <v>INV-2401-383</v>
      </c>
      <c r="C386" s="31"/>
      <c r="D386" s="16" t="str">
        <f>'Sales Data'!E385</f>
        <v>PC-IND-EL74L-67</v>
      </c>
      <c r="E386" s="52">
        <f>'Sales Data'!G385</f>
        <v>835</v>
      </c>
      <c r="F386" s="72">
        <f>'Sales Data'!H385</f>
        <v>26</v>
      </c>
      <c r="G386" s="73"/>
      <c r="H386" s="73">
        <f>(InvoiceDetails[[#This Row],[Qty]]*InvoiceDetails[[#This Row],[Unit price]])-InvoiceDetails[[#This Row],[Discount]]</f>
        <v>21710</v>
      </c>
    </row>
    <row r="387" spans="2:8" ht="34.049999999999997" customHeight="1" x14ac:dyDescent="0.3">
      <c r="B387" s="51" t="str">
        <f>'Sales Data'!C386</f>
        <v>INV-2401-384</v>
      </c>
      <c r="C387" s="31"/>
      <c r="D387" s="16" t="str">
        <f>'Sales Data'!E386</f>
        <v>PC-IND-KH67D-83</v>
      </c>
      <c r="E387" s="52">
        <f>'Sales Data'!G386</f>
        <v>843</v>
      </c>
      <c r="F387" s="72">
        <f>'Sales Data'!H386</f>
        <v>25</v>
      </c>
      <c r="G387" s="73"/>
      <c r="H387" s="73">
        <f>(InvoiceDetails[[#This Row],[Qty]]*InvoiceDetails[[#This Row],[Unit price]])-InvoiceDetails[[#This Row],[Discount]]</f>
        <v>21075</v>
      </c>
    </row>
    <row r="388" spans="2:8" ht="34.049999999999997" customHeight="1" x14ac:dyDescent="0.3">
      <c r="B388" s="51" t="str">
        <f>'Sales Data'!C387</f>
        <v>INV-2401-385</v>
      </c>
      <c r="C388" s="31"/>
      <c r="D388" s="16" t="str">
        <f>'Sales Data'!E387</f>
        <v>ED-IND-HT56M-64</v>
      </c>
      <c r="E388" s="52">
        <f>'Sales Data'!G387</f>
        <v>938</v>
      </c>
      <c r="F388" s="72">
        <f>'Sales Data'!H387</f>
        <v>28</v>
      </c>
      <c r="G388" s="73"/>
      <c r="H388" s="73">
        <f>(InvoiceDetails[[#This Row],[Qty]]*InvoiceDetails[[#This Row],[Unit price]])-InvoiceDetails[[#This Row],[Discount]]</f>
        <v>26264</v>
      </c>
    </row>
    <row r="389" spans="2:8" ht="34.049999999999997" customHeight="1" x14ac:dyDescent="0.3">
      <c r="B389" s="51" t="str">
        <f>'Sales Data'!C388</f>
        <v>INV-2401-386</v>
      </c>
      <c r="C389" s="31"/>
      <c r="D389" s="16" t="str">
        <f>'Sales Data'!E388</f>
        <v>PC-IND-DZ97R-67</v>
      </c>
      <c r="E389" s="52">
        <f>'Sales Data'!G388</f>
        <v>507</v>
      </c>
      <c r="F389" s="72">
        <f>'Sales Data'!H388</f>
        <v>27</v>
      </c>
      <c r="G389" s="73"/>
      <c r="H389" s="73">
        <f>(InvoiceDetails[[#This Row],[Qty]]*InvoiceDetails[[#This Row],[Unit price]])-InvoiceDetails[[#This Row],[Discount]]</f>
        <v>13689</v>
      </c>
    </row>
    <row r="390" spans="2:8" ht="34.049999999999997" customHeight="1" x14ac:dyDescent="0.3">
      <c r="B390" s="51" t="str">
        <f>'Sales Data'!C389</f>
        <v>INV-2401-387</v>
      </c>
      <c r="C390" s="31"/>
      <c r="D390" s="16" t="str">
        <f>'Sales Data'!E389</f>
        <v>ED-IND-PE72P-80</v>
      </c>
      <c r="E390" s="52">
        <f>'Sales Data'!G389</f>
        <v>726</v>
      </c>
      <c r="F390" s="72">
        <f>'Sales Data'!H389</f>
        <v>21</v>
      </c>
      <c r="G390" s="73"/>
      <c r="H390" s="73">
        <f>(InvoiceDetails[[#This Row],[Qty]]*InvoiceDetails[[#This Row],[Unit price]])-InvoiceDetails[[#This Row],[Discount]]</f>
        <v>15246</v>
      </c>
    </row>
    <row r="391" spans="2:8" ht="34.049999999999997" customHeight="1" x14ac:dyDescent="0.3">
      <c r="B391" s="51" t="str">
        <f>'Sales Data'!C390</f>
        <v>INV-2401-388</v>
      </c>
      <c r="C391" s="31"/>
      <c r="D391" s="16" t="str">
        <f>'Sales Data'!E390</f>
        <v>ED-IND-UK36S-57</v>
      </c>
      <c r="E391" s="52">
        <f>'Sales Data'!G390</f>
        <v>669</v>
      </c>
      <c r="F391" s="72">
        <f>'Sales Data'!H390</f>
        <v>27</v>
      </c>
      <c r="G391" s="73"/>
      <c r="H391" s="73">
        <f>(InvoiceDetails[[#This Row],[Qty]]*InvoiceDetails[[#This Row],[Unit price]])-InvoiceDetails[[#This Row],[Discount]]</f>
        <v>18063</v>
      </c>
    </row>
    <row r="392" spans="2:8" ht="34.049999999999997" customHeight="1" x14ac:dyDescent="0.3">
      <c r="B392" s="51" t="str">
        <f>'Sales Data'!C391</f>
        <v>INV-2401-389</v>
      </c>
      <c r="C392" s="31"/>
      <c r="D392" s="16" t="str">
        <f>'Sales Data'!E391</f>
        <v>ED-IND-EW94F-08</v>
      </c>
      <c r="E392" s="52">
        <f>'Sales Data'!G391</f>
        <v>755</v>
      </c>
      <c r="F392" s="72">
        <f>'Sales Data'!H391</f>
        <v>28</v>
      </c>
      <c r="G392" s="73"/>
      <c r="H392" s="73">
        <f>(InvoiceDetails[[#This Row],[Qty]]*InvoiceDetails[[#This Row],[Unit price]])-InvoiceDetails[[#This Row],[Discount]]</f>
        <v>21140</v>
      </c>
    </row>
    <row r="393" spans="2:8" ht="34.049999999999997" customHeight="1" x14ac:dyDescent="0.3">
      <c r="B393" s="51" t="str">
        <f>'Sales Data'!C392</f>
        <v>INV-2401-390</v>
      </c>
      <c r="C393" s="31"/>
      <c r="D393" s="16" t="str">
        <f>'Sales Data'!E392</f>
        <v>ED-IND-DP53U-61</v>
      </c>
      <c r="E393" s="52">
        <f>'Sales Data'!G392</f>
        <v>892</v>
      </c>
      <c r="F393" s="72">
        <f>'Sales Data'!H392</f>
        <v>22</v>
      </c>
      <c r="G393" s="73"/>
      <c r="H393" s="73">
        <f>(InvoiceDetails[[#This Row],[Qty]]*InvoiceDetails[[#This Row],[Unit price]])-InvoiceDetails[[#This Row],[Discount]]</f>
        <v>19624</v>
      </c>
    </row>
    <row r="394" spans="2:8" ht="34.049999999999997" customHeight="1" x14ac:dyDescent="0.3">
      <c r="B394" s="51" t="str">
        <f>'Sales Data'!C393</f>
        <v>INV-2401-391</v>
      </c>
      <c r="C394" s="31"/>
      <c r="D394" s="16" t="str">
        <f>'Sales Data'!E393</f>
        <v>PC-IND-LV16Y-64</v>
      </c>
      <c r="E394" s="52">
        <f>'Sales Data'!G393</f>
        <v>889</v>
      </c>
      <c r="F394" s="72">
        <f>'Sales Data'!H393</f>
        <v>31</v>
      </c>
      <c r="G394" s="73"/>
      <c r="H394" s="73">
        <f>(InvoiceDetails[[#This Row],[Qty]]*InvoiceDetails[[#This Row],[Unit price]])-InvoiceDetails[[#This Row],[Discount]]</f>
        <v>27559</v>
      </c>
    </row>
    <row r="395" spans="2:8" ht="34.049999999999997" customHeight="1" x14ac:dyDescent="0.3">
      <c r="B395" s="51" t="str">
        <f>'Sales Data'!C394</f>
        <v>INV-2401-392</v>
      </c>
      <c r="C395" s="31"/>
      <c r="D395" s="16" t="str">
        <f>'Sales Data'!E394</f>
        <v>ED-IND-QX56H-85</v>
      </c>
      <c r="E395" s="52">
        <f>'Sales Data'!G394</f>
        <v>552</v>
      </c>
      <c r="F395" s="72">
        <f>'Sales Data'!H394</f>
        <v>24</v>
      </c>
      <c r="G395" s="73"/>
      <c r="H395" s="73">
        <f>(InvoiceDetails[[#This Row],[Qty]]*InvoiceDetails[[#This Row],[Unit price]])-InvoiceDetails[[#This Row],[Discount]]</f>
        <v>13248</v>
      </c>
    </row>
    <row r="396" spans="2:8" ht="34.049999999999997" customHeight="1" x14ac:dyDescent="0.3">
      <c r="B396" s="51" t="str">
        <f>'Sales Data'!C395</f>
        <v>INV-2401-393</v>
      </c>
      <c r="C396" s="31"/>
      <c r="D396" s="16" t="str">
        <f>'Sales Data'!E395</f>
        <v>PC-IND-NT85T-12</v>
      </c>
      <c r="E396" s="52">
        <f>'Sales Data'!G395</f>
        <v>943</v>
      </c>
      <c r="F396" s="72">
        <f>'Sales Data'!H395</f>
        <v>28</v>
      </c>
      <c r="G396" s="73"/>
      <c r="H396" s="73">
        <f>(InvoiceDetails[[#This Row],[Qty]]*InvoiceDetails[[#This Row],[Unit price]])-InvoiceDetails[[#This Row],[Discount]]</f>
        <v>26404</v>
      </c>
    </row>
    <row r="397" spans="2:8" ht="34.049999999999997" customHeight="1" x14ac:dyDescent="0.3">
      <c r="B397" s="51" t="str">
        <f>'Sales Data'!C396</f>
        <v>INV-2402-394</v>
      </c>
      <c r="C397" s="31"/>
      <c r="D397" s="16" t="str">
        <f>'Sales Data'!E396</f>
        <v>PC-IND-NR38K-95</v>
      </c>
      <c r="E397" s="52">
        <f>'Sales Data'!G396</f>
        <v>703</v>
      </c>
      <c r="F397" s="72">
        <f>'Sales Data'!H396</f>
        <v>29</v>
      </c>
      <c r="G397" s="73"/>
      <c r="H397" s="73">
        <f>(InvoiceDetails[[#This Row],[Qty]]*InvoiceDetails[[#This Row],[Unit price]])-InvoiceDetails[[#This Row],[Discount]]</f>
        <v>20387</v>
      </c>
    </row>
    <row r="398" spans="2:8" ht="34.049999999999997" customHeight="1" x14ac:dyDescent="0.3">
      <c r="B398" s="51" t="str">
        <f>'Sales Data'!C397</f>
        <v>INV-2402-395</v>
      </c>
      <c r="C398" s="31"/>
      <c r="D398" s="16" t="str">
        <f>'Sales Data'!E397</f>
        <v>PC-IND-SN42B-68</v>
      </c>
      <c r="E398" s="52">
        <f>'Sales Data'!G397</f>
        <v>661</v>
      </c>
      <c r="F398" s="72">
        <f>'Sales Data'!H397</f>
        <v>28</v>
      </c>
      <c r="G398" s="73"/>
      <c r="H398" s="73">
        <f>(InvoiceDetails[[#This Row],[Qty]]*InvoiceDetails[[#This Row],[Unit price]])-InvoiceDetails[[#This Row],[Discount]]</f>
        <v>18508</v>
      </c>
    </row>
    <row r="399" spans="2:8" ht="34.049999999999997" customHeight="1" x14ac:dyDescent="0.3">
      <c r="B399" s="51" t="str">
        <f>'Sales Data'!C398</f>
        <v>INV-2402-396</v>
      </c>
      <c r="C399" s="31"/>
      <c r="D399" s="16" t="str">
        <f>'Sales Data'!E398</f>
        <v>ED-IND-ZH47Y-87</v>
      </c>
      <c r="E399" s="52">
        <f>'Sales Data'!G398</f>
        <v>624</v>
      </c>
      <c r="F399" s="72">
        <f>'Sales Data'!H398</f>
        <v>23</v>
      </c>
      <c r="G399" s="73"/>
      <c r="H399" s="73">
        <f>(InvoiceDetails[[#This Row],[Qty]]*InvoiceDetails[[#This Row],[Unit price]])-InvoiceDetails[[#This Row],[Discount]]</f>
        <v>14352</v>
      </c>
    </row>
    <row r="400" spans="2:8" ht="34.049999999999997" customHeight="1" x14ac:dyDescent="0.3">
      <c r="B400" s="51" t="str">
        <f>'Sales Data'!C399</f>
        <v>INV-2402-397</v>
      </c>
      <c r="C400" s="31"/>
      <c r="D400" s="16" t="str">
        <f>'Sales Data'!E399</f>
        <v>ED-IND-WV35R-39</v>
      </c>
      <c r="E400" s="52">
        <f>'Sales Data'!G399</f>
        <v>624</v>
      </c>
      <c r="F400" s="72">
        <f>'Sales Data'!H399</f>
        <v>30</v>
      </c>
      <c r="G400" s="73"/>
      <c r="H400" s="73">
        <f>(InvoiceDetails[[#This Row],[Qty]]*InvoiceDetails[[#This Row],[Unit price]])-InvoiceDetails[[#This Row],[Discount]]</f>
        <v>18720</v>
      </c>
    </row>
    <row r="401" spans="2:8" ht="34.049999999999997" customHeight="1" x14ac:dyDescent="0.3">
      <c r="B401" s="51" t="str">
        <f>'Sales Data'!C400</f>
        <v>INV-2402-398</v>
      </c>
      <c r="C401" s="31"/>
      <c r="D401" s="16" t="str">
        <f>'Sales Data'!E400</f>
        <v>ED-IND-DI56U-78</v>
      </c>
      <c r="E401" s="52">
        <f>'Sales Data'!G400</f>
        <v>931</v>
      </c>
      <c r="F401" s="72">
        <f>'Sales Data'!H400</f>
        <v>28</v>
      </c>
      <c r="G401" s="73"/>
      <c r="H401" s="73">
        <f>(InvoiceDetails[[#This Row],[Qty]]*InvoiceDetails[[#This Row],[Unit price]])-InvoiceDetails[[#This Row],[Discount]]</f>
        <v>26068</v>
      </c>
    </row>
    <row r="402" spans="2:8" ht="34.049999999999997" customHeight="1" x14ac:dyDescent="0.3">
      <c r="B402" s="51" t="str">
        <f>'Sales Data'!C401</f>
        <v>INV-2402-399</v>
      </c>
      <c r="C402" s="31"/>
      <c r="D402" s="16" t="str">
        <f>'Sales Data'!E401</f>
        <v>ED-IND-GD10D-73</v>
      </c>
      <c r="E402" s="52">
        <f>'Sales Data'!G401</f>
        <v>624</v>
      </c>
      <c r="F402" s="72">
        <f>'Sales Data'!H401</f>
        <v>24</v>
      </c>
      <c r="G402" s="73"/>
      <c r="H402" s="73">
        <f>(InvoiceDetails[[#This Row],[Qty]]*InvoiceDetails[[#This Row],[Unit price]])-InvoiceDetails[[#This Row],[Discount]]</f>
        <v>14976</v>
      </c>
    </row>
    <row r="403" spans="2:8" ht="34.049999999999997" customHeight="1" x14ac:dyDescent="0.3">
      <c r="B403" s="51" t="str">
        <f>'Sales Data'!C402</f>
        <v>INV-2402-400</v>
      </c>
      <c r="C403" s="31"/>
      <c r="D403" s="16" t="str">
        <f>'Sales Data'!E402</f>
        <v>ED-IND-PL14K-15</v>
      </c>
      <c r="E403" s="52">
        <f>'Sales Data'!G402</f>
        <v>607</v>
      </c>
      <c r="F403" s="72">
        <f>'Sales Data'!H402</f>
        <v>31</v>
      </c>
      <c r="G403" s="73"/>
      <c r="H403" s="73">
        <f>(InvoiceDetails[[#This Row],[Qty]]*InvoiceDetails[[#This Row],[Unit price]])-InvoiceDetails[[#This Row],[Discount]]</f>
        <v>18817</v>
      </c>
    </row>
    <row r="404" spans="2:8" ht="34.049999999999997" customHeight="1" x14ac:dyDescent="0.3">
      <c r="B404" s="51" t="str">
        <f>'Sales Data'!C403</f>
        <v>INV-2402-401</v>
      </c>
      <c r="C404" s="31"/>
      <c r="D404" s="16" t="str">
        <f>'Sales Data'!E403</f>
        <v>ED-IND-TF42R-49</v>
      </c>
      <c r="E404" s="52">
        <f>'Sales Data'!G403</f>
        <v>978</v>
      </c>
      <c r="F404" s="72">
        <f>'Sales Data'!H403</f>
        <v>25</v>
      </c>
      <c r="G404" s="73"/>
      <c r="H404" s="73">
        <f>(InvoiceDetails[[#This Row],[Qty]]*InvoiceDetails[[#This Row],[Unit price]])-InvoiceDetails[[#This Row],[Discount]]</f>
        <v>24450</v>
      </c>
    </row>
    <row r="405" spans="2:8" ht="34.049999999999997" customHeight="1" x14ac:dyDescent="0.3">
      <c r="B405" s="51" t="str">
        <f>'Sales Data'!C404</f>
        <v>INV-2402-402</v>
      </c>
      <c r="C405" s="31"/>
      <c r="D405" s="16" t="str">
        <f>'Sales Data'!E404</f>
        <v>ED-IND-BF45S-26</v>
      </c>
      <c r="E405" s="52">
        <f>'Sales Data'!G404</f>
        <v>767</v>
      </c>
      <c r="F405" s="72">
        <f>'Sales Data'!H404</f>
        <v>30</v>
      </c>
      <c r="G405" s="73"/>
      <c r="H405" s="73">
        <f>(InvoiceDetails[[#This Row],[Qty]]*InvoiceDetails[[#This Row],[Unit price]])-InvoiceDetails[[#This Row],[Discount]]</f>
        <v>23010</v>
      </c>
    </row>
    <row r="406" spans="2:8" ht="34.049999999999997" customHeight="1" x14ac:dyDescent="0.3">
      <c r="B406" s="51" t="str">
        <f>'Sales Data'!C405</f>
        <v>INV-2402-403</v>
      </c>
      <c r="C406" s="31"/>
      <c r="D406" s="16" t="str">
        <f>'Sales Data'!E405</f>
        <v>ED-IND-HA79V-51</v>
      </c>
      <c r="E406" s="52">
        <f>'Sales Data'!G405</f>
        <v>922</v>
      </c>
      <c r="F406" s="72">
        <f>'Sales Data'!H405</f>
        <v>29</v>
      </c>
      <c r="G406" s="73"/>
      <c r="H406" s="73">
        <f>(InvoiceDetails[[#This Row],[Qty]]*InvoiceDetails[[#This Row],[Unit price]])-InvoiceDetails[[#This Row],[Discount]]</f>
        <v>26738</v>
      </c>
    </row>
    <row r="407" spans="2:8" ht="34.049999999999997" customHeight="1" x14ac:dyDescent="0.3">
      <c r="B407" s="51" t="str">
        <f>'Sales Data'!C406</f>
        <v>INV-2402-404</v>
      </c>
      <c r="C407" s="31"/>
      <c r="D407" s="16" t="str">
        <f>'Sales Data'!E406</f>
        <v>PC-IND-GP84Y-49</v>
      </c>
      <c r="E407" s="52">
        <f>'Sales Data'!G406</f>
        <v>558</v>
      </c>
      <c r="F407" s="72">
        <f>'Sales Data'!H406</f>
        <v>28</v>
      </c>
      <c r="G407" s="73"/>
      <c r="H407" s="73">
        <f>(InvoiceDetails[[#This Row],[Qty]]*InvoiceDetails[[#This Row],[Unit price]])-InvoiceDetails[[#This Row],[Discount]]</f>
        <v>15624</v>
      </c>
    </row>
    <row r="408" spans="2:8" ht="34.049999999999997" customHeight="1" x14ac:dyDescent="0.3">
      <c r="B408" s="51" t="str">
        <f>'Sales Data'!C407</f>
        <v>INV-2402-405</v>
      </c>
      <c r="C408" s="31"/>
      <c r="D408" s="16" t="str">
        <f>'Sales Data'!E407</f>
        <v>PC-IND-DI79R-24</v>
      </c>
      <c r="E408" s="52">
        <f>'Sales Data'!G407</f>
        <v>565</v>
      </c>
      <c r="F408" s="72">
        <f>'Sales Data'!H407</f>
        <v>24</v>
      </c>
      <c r="G408" s="73"/>
      <c r="H408" s="73">
        <f>(InvoiceDetails[[#This Row],[Qty]]*InvoiceDetails[[#This Row],[Unit price]])-InvoiceDetails[[#This Row],[Discount]]</f>
        <v>13560</v>
      </c>
    </row>
    <row r="409" spans="2:8" ht="34.049999999999997" customHeight="1" x14ac:dyDescent="0.3">
      <c r="B409" s="51" t="str">
        <f>'Sales Data'!C408</f>
        <v>INV-2402-406</v>
      </c>
      <c r="C409" s="31"/>
      <c r="D409" s="16" t="str">
        <f>'Sales Data'!E408</f>
        <v>ED-IND-KV98A-82</v>
      </c>
      <c r="E409" s="52">
        <f>'Sales Data'!G408</f>
        <v>792</v>
      </c>
      <c r="F409" s="72">
        <f>'Sales Data'!H408</f>
        <v>21</v>
      </c>
      <c r="G409" s="73"/>
      <c r="H409" s="73">
        <f>(InvoiceDetails[[#This Row],[Qty]]*InvoiceDetails[[#This Row],[Unit price]])-InvoiceDetails[[#This Row],[Discount]]</f>
        <v>16632</v>
      </c>
    </row>
    <row r="410" spans="2:8" ht="34.049999999999997" customHeight="1" x14ac:dyDescent="0.3">
      <c r="B410" s="51" t="str">
        <f>'Sales Data'!C409</f>
        <v>INV-2402-407</v>
      </c>
      <c r="C410" s="31"/>
      <c r="D410" s="16" t="str">
        <f>'Sales Data'!E409</f>
        <v>ED-IND-QW67W-84</v>
      </c>
      <c r="E410" s="52">
        <f>'Sales Data'!G409</f>
        <v>836</v>
      </c>
      <c r="F410" s="72">
        <f>'Sales Data'!H409</f>
        <v>27</v>
      </c>
      <c r="G410" s="73"/>
      <c r="H410" s="73">
        <f>(InvoiceDetails[[#This Row],[Qty]]*InvoiceDetails[[#This Row],[Unit price]])-InvoiceDetails[[#This Row],[Discount]]</f>
        <v>22572</v>
      </c>
    </row>
    <row r="411" spans="2:8" ht="34.049999999999997" customHeight="1" x14ac:dyDescent="0.3">
      <c r="B411" s="51" t="str">
        <f>'Sales Data'!C410</f>
        <v>INV-2402-408</v>
      </c>
      <c r="C411" s="31"/>
      <c r="D411" s="16" t="str">
        <f>'Sales Data'!E410</f>
        <v>ED-IND-MR35W-40</v>
      </c>
      <c r="E411" s="52">
        <f>'Sales Data'!G410</f>
        <v>926</v>
      </c>
      <c r="F411" s="72">
        <f>'Sales Data'!H410</f>
        <v>21</v>
      </c>
      <c r="G411" s="73"/>
      <c r="H411" s="73">
        <f>(InvoiceDetails[[#This Row],[Qty]]*InvoiceDetails[[#This Row],[Unit price]])-InvoiceDetails[[#This Row],[Discount]]</f>
        <v>19446</v>
      </c>
    </row>
    <row r="412" spans="2:8" ht="34.049999999999997" customHeight="1" x14ac:dyDescent="0.3">
      <c r="B412" s="51" t="str">
        <f>'Sales Data'!C411</f>
        <v>INV-2402-409</v>
      </c>
      <c r="C412" s="31"/>
      <c r="D412" s="16" t="str">
        <f>'Sales Data'!E411</f>
        <v>ED-IND-LX66Z-85</v>
      </c>
      <c r="E412" s="52">
        <f>'Sales Data'!G411</f>
        <v>957</v>
      </c>
      <c r="F412" s="72">
        <f>'Sales Data'!H411</f>
        <v>28</v>
      </c>
      <c r="G412" s="73"/>
      <c r="H412" s="73">
        <f>(InvoiceDetails[[#This Row],[Qty]]*InvoiceDetails[[#This Row],[Unit price]])-InvoiceDetails[[#This Row],[Discount]]</f>
        <v>26796</v>
      </c>
    </row>
    <row r="413" spans="2:8" ht="34.049999999999997" customHeight="1" x14ac:dyDescent="0.3">
      <c r="B413" s="51" t="str">
        <f>'Sales Data'!C412</f>
        <v>INV-2402-410</v>
      </c>
      <c r="C413" s="31"/>
      <c r="D413" s="16" t="str">
        <f>'Sales Data'!E412</f>
        <v>ED-IND-AM96N-61</v>
      </c>
      <c r="E413" s="52">
        <f>'Sales Data'!G412</f>
        <v>646</v>
      </c>
      <c r="F413" s="72">
        <f>'Sales Data'!H412</f>
        <v>29</v>
      </c>
      <c r="G413" s="73"/>
      <c r="H413" s="73">
        <f>(InvoiceDetails[[#This Row],[Qty]]*InvoiceDetails[[#This Row],[Unit price]])-InvoiceDetails[[#This Row],[Discount]]</f>
        <v>18734</v>
      </c>
    </row>
    <row r="414" spans="2:8" ht="34.049999999999997" customHeight="1" x14ac:dyDescent="0.3">
      <c r="B414" s="51" t="str">
        <f>'Sales Data'!C413</f>
        <v>INV-2402-411</v>
      </c>
      <c r="C414" s="31"/>
      <c r="D414" s="16" t="str">
        <f>'Sales Data'!E413</f>
        <v>ED-IND-LI95K-37</v>
      </c>
      <c r="E414" s="52">
        <f>'Sales Data'!G413</f>
        <v>550</v>
      </c>
      <c r="F414" s="72">
        <f>'Sales Data'!H413</f>
        <v>24</v>
      </c>
      <c r="G414" s="73"/>
      <c r="H414" s="73">
        <f>(InvoiceDetails[[#This Row],[Qty]]*InvoiceDetails[[#This Row],[Unit price]])-InvoiceDetails[[#This Row],[Discount]]</f>
        <v>13200</v>
      </c>
    </row>
    <row r="415" spans="2:8" ht="34.049999999999997" customHeight="1" x14ac:dyDescent="0.3">
      <c r="B415" s="51" t="str">
        <f>'Sales Data'!C414</f>
        <v>INV-2402-412</v>
      </c>
      <c r="C415" s="31"/>
      <c r="D415" s="16" t="str">
        <f>'Sales Data'!E414</f>
        <v>PC-IND-QX17A-98</v>
      </c>
      <c r="E415" s="52">
        <f>'Sales Data'!G414</f>
        <v>507</v>
      </c>
      <c r="F415" s="72">
        <f>'Sales Data'!H414</f>
        <v>22</v>
      </c>
      <c r="G415" s="73"/>
      <c r="H415" s="73">
        <f>(InvoiceDetails[[#This Row],[Qty]]*InvoiceDetails[[#This Row],[Unit price]])-InvoiceDetails[[#This Row],[Discount]]</f>
        <v>11154</v>
      </c>
    </row>
    <row r="416" spans="2:8" ht="34.049999999999997" customHeight="1" x14ac:dyDescent="0.3">
      <c r="B416" s="51" t="str">
        <f>'Sales Data'!C415</f>
        <v>INV-2402-413</v>
      </c>
      <c r="C416" s="31"/>
      <c r="D416" s="16" t="str">
        <f>'Sales Data'!E415</f>
        <v>ED-IND-RI15Q-93</v>
      </c>
      <c r="E416" s="52">
        <f>'Sales Data'!G415</f>
        <v>572</v>
      </c>
      <c r="F416" s="72">
        <f>'Sales Data'!H415</f>
        <v>28</v>
      </c>
      <c r="G416" s="73"/>
      <c r="H416" s="73">
        <f>(InvoiceDetails[[#This Row],[Qty]]*InvoiceDetails[[#This Row],[Unit price]])-InvoiceDetails[[#This Row],[Discount]]</f>
        <v>16016</v>
      </c>
    </row>
    <row r="417" spans="2:8" ht="34.049999999999997" customHeight="1" x14ac:dyDescent="0.3">
      <c r="B417" s="51" t="str">
        <f>'Sales Data'!C416</f>
        <v>INV-2402-414</v>
      </c>
      <c r="C417" s="31"/>
      <c r="D417" s="16" t="str">
        <f>'Sales Data'!E416</f>
        <v>ED-IND-TS69Y-23</v>
      </c>
      <c r="E417" s="52">
        <f>'Sales Data'!G416</f>
        <v>998</v>
      </c>
      <c r="F417" s="72">
        <f>'Sales Data'!H416</f>
        <v>21</v>
      </c>
      <c r="G417" s="73"/>
      <c r="H417" s="73">
        <f>(InvoiceDetails[[#This Row],[Qty]]*InvoiceDetails[[#This Row],[Unit price]])-InvoiceDetails[[#This Row],[Discount]]</f>
        <v>20958</v>
      </c>
    </row>
    <row r="418" spans="2:8" ht="34.049999999999997" customHeight="1" x14ac:dyDescent="0.3">
      <c r="B418" s="51" t="str">
        <f>'Sales Data'!C417</f>
        <v>INV-2402-415</v>
      </c>
      <c r="C418" s="31"/>
      <c r="D418" s="16" t="str">
        <f>'Sales Data'!E417</f>
        <v>ED-IND-DB82T-55</v>
      </c>
      <c r="E418" s="52">
        <f>'Sales Data'!G417</f>
        <v>782</v>
      </c>
      <c r="F418" s="72">
        <f>'Sales Data'!H417</f>
        <v>22</v>
      </c>
      <c r="G418" s="73"/>
      <c r="H418" s="73">
        <f>(InvoiceDetails[[#This Row],[Qty]]*InvoiceDetails[[#This Row],[Unit price]])-InvoiceDetails[[#This Row],[Discount]]</f>
        <v>17204</v>
      </c>
    </row>
    <row r="419" spans="2:8" ht="34.049999999999997" customHeight="1" x14ac:dyDescent="0.3">
      <c r="B419" s="51" t="str">
        <f>'Sales Data'!C418</f>
        <v>INV-2402-416</v>
      </c>
      <c r="C419" s="31"/>
      <c r="D419" s="16" t="str">
        <f>'Sales Data'!E418</f>
        <v>ED-IND-OO26A-57</v>
      </c>
      <c r="E419" s="52">
        <f>'Sales Data'!G418</f>
        <v>665</v>
      </c>
      <c r="F419" s="72">
        <f>'Sales Data'!H418</f>
        <v>24</v>
      </c>
      <c r="G419" s="73"/>
      <c r="H419" s="73">
        <f>(InvoiceDetails[[#This Row],[Qty]]*InvoiceDetails[[#This Row],[Unit price]])-InvoiceDetails[[#This Row],[Discount]]</f>
        <v>15960</v>
      </c>
    </row>
    <row r="420" spans="2:8" ht="34.049999999999997" customHeight="1" x14ac:dyDescent="0.3">
      <c r="B420" s="51" t="str">
        <f>'Sales Data'!C419</f>
        <v>INV-2402-417</v>
      </c>
      <c r="C420" s="31"/>
      <c r="D420" s="16" t="str">
        <f>'Sales Data'!E419</f>
        <v>ED-IND-GR47F-74</v>
      </c>
      <c r="E420" s="52">
        <f>'Sales Data'!G419</f>
        <v>663</v>
      </c>
      <c r="F420" s="72">
        <f>'Sales Data'!H419</f>
        <v>22</v>
      </c>
      <c r="G420" s="73"/>
      <c r="H420" s="73">
        <f>(InvoiceDetails[[#This Row],[Qty]]*InvoiceDetails[[#This Row],[Unit price]])-InvoiceDetails[[#This Row],[Discount]]</f>
        <v>14586</v>
      </c>
    </row>
    <row r="421" spans="2:8" ht="34.049999999999997" customHeight="1" x14ac:dyDescent="0.3">
      <c r="B421" s="51" t="str">
        <f>'Sales Data'!C420</f>
        <v>INV-2402-418</v>
      </c>
      <c r="C421" s="31"/>
      <c r="D421" s="16" t="str">
        <f>'Sales Data'!E420</f>
        <v>ED-IND-JC65B-41</v>
      </c>
      <c r="E421" s="52">
        <f>'Sales Data'!G420</f>
        <v>799</v>
      </c>
      <c r="F421" s="72">
        <f>'Sales Data'!H420</f>
        <v>24</v>
      </c>
      <c r="G421" s="73"/>
      <c r="H421" s="73">
        <f>(InvoiceDetails[[#This Row],[Qty]]*InvoiceDetails[[#This Row],[Unit price]])-InvoiceDetails[[#This Row],[Discount]]</f>
        <v>19176</v>
      </c>
    </row>
    <row r="422" spans="2:8" ht="34.049999999999997" customHeight="1" x14ac:dyDescent="0.3">
      <c r="B422" s="51" t="str">
        <f>'Sales Data'!C421</f>
        <v>INV-2402-419</v>
      </c>
      <c r="C422" s="31"/>
      <c r="D422" s="16" t="str">
        <f>'Sales Data'!E421</f>
        <v>ED-IND-KA47B-58</v>
      </c>
      <c r="E422" s="52">
        <f>'Sales Data'!G421</f>
        <v>649</v>
      </c>
      <c r="F422" s="72">
        <f>'Sales Data'!H421</f>
        <v>25</v>
      </c>
      <c r="G422" s="73"/>
      <c r="H422" s="73">
        <f>(InvoiceDetails[[#This Row],[Qty]]*InvoiceDetails[[#This Row],[Unit price]])-InvoiceDetails[[#This Row],[Discount]]</f>
        <v>16225</v>
      </c>
    </row>
    <row r="423" spans="2:8" ht="34.049999999999997" customHeight="1" x14ac:dyDescent="0.3">
      <c r="B423" s="51" t="str">
        <f>'Sales Data'!C422</f>
        <v>INV-2402-420</v>
      </c>
      <c r="C423" s="31"/>
      <c r="D423" s="16" t="str">
        <f>'Sales Data'!E422</f>
        <v>ED-IND-TP31M-47</v>
      </c>
      <c r="E423" s="52">
        <f>'Sales Data'!G422</f>
        <v>835</v>
      </c>
      <c r="F423" s="72">
        <f>'Sales Data'!H422</f>
        <v>24</v>
      </c>
      <c r="G423" s="73"/>
      <c r="H423" s="73">
        <f>(InvoiceDetails[[#This Row],[Qty]]*InvoiceDetails[[#This Row],[Unit price]])-InvoiceDetails[[#This Row],[Discount]]</f>
        <v>20040</v>
      </c>
    </row>
    <row r="424" spans="2:8" ht="34.049999999999997" customHeight="1" x14ac:dyDescent="0.3">
      <c r="B424" s="51" t="str">
        <f>'Sales Data'!C423</f>
        <v>INV-2402-421</v>
      </c>
      <c r="C424" s="31"/>
      <c r="D424" s="16" t="str">
        <f>'Sales Data'!E423</f>
        <v>ED-IND-PU76Q-26</v>
      </c>
      <c r="E424" s="52">
        <f>'Sales Data'!G423</f>
        <v>904</v>
      </c>
      <c r="F424" s="72">
        <f>'Sales Data'!H423</f>
        <v>30</v>
      </c>
      <c r="G424" s="73"/>
      <c r="H424" s="73">
        <f>(InvoiceDetails[[#This Row],[Qty]]*InvoiceDetails[[#This Row],[Unit price]])-InvoiceDetails[[#This Row],[Discount]]</f>
        <v>27120</v>
      </c>
    </row>
    <row r="425" spans="2:8" ht="34.049999999999997" customHeight="1" x14ac:dyDescent="0.3">
      <c r="B425" s="51" t="str">
        <f>'Sales Data'!C424</f>
        <v>INV-2402-422</v>
      </c>
      <c r="C425" s="31"/>
      <c r="D425" s="16" t="str">
        <f>'Sales Data'!E424</f>
        <v>ED-IND-UA80H-96</v>
      </c>
      <c r="E425" s="52">
        <f>'Sales Data'!G424</f>
        <v>558</v>
      </c>
      <c r="F425" s="72">
        <f>'Sales Data'!H424</f>
        <v>26</v>
      </c>
      <c r="G425" s="73"/>
      <c r="H425" s="73">
        <f>(InvoiceDetails[[#This Row],[Qty]]*InvoiceDetails[[#This Row],[Unit price]])-InvoiceDetails[[#This Row],[Discount]]</f>
        <v>14508</v>
      </c>
    </row>
    <row r="426" spans="2:8" ht="34.049999999999997" customHeight="1" x14ac:dyDescent="0.3">
      <c r="B426" s="51" t="str">
        <f>'Sales Data'!C425</f>
        <v>INV-2403-423</v>
      </c>
      <c r="C426" s="31"/>
      <c r="D426" s="16" t="str">
        <f>'Sales Data'!E425</f>
        <v>ED-IND-FN30B-54</v>
      </c>
      <c r="E426" s="52">
        <f>'Sales Data'!G425</f>
        <v>703</v>
      </c>
      <c r="F426" s="72">
        <f>'Sales Data'!H425</f>
        <v>21</v>
      </c>
      <c r="G426" s="73"/>
      <c r="H426" s="73">
        <f>(InvoiceDetails[[#This Row],[Qty]]*InvoiceDetails[[#This Row],[Unit price]])-InvoiceDetails[[#This Row],[Discount]]</f>
        <v>14763</v>
      </c>
    </row>
    <row r="427" spans="2:8" ht="34.049999999999997" customHeight="1" x14ac:dyDescent="0.3">
      <c r="B427" s="51" t="str">
        <f>'Sales Data'!C426</f>
        <v>INV-2403-424</v>
      </c>
      <c r="C427" s="31"/>
      <c r="D427" s="16" t="str">
        <f>'Sales Data'!E426</f>
        <v>PC-IND-HQ41J-38</v>
      </c>
      <c r="E427" s="52">
        <f>'Sales Data'!G426</f>
        <v>655</v>
      </c>
      <c r="F427" s="72">
        <f>'Sales Data'!H426</f>
        <v>26</v>
      </c>
      <c r="G427" s="73"/>
      <c r="H427" s="73">
        <f>(InvoiceDetails[[#This Row],[Qty]]*InvoiceDetails[[#This Row],[Unit price]])-InvoiceDetails[[#This Row],[Discount]]</f>
        <v>17030</v>
      </c>
    </row>
    <row r="428" spans="2:8" ht="34.049999999999997" customHeight="1" x14ac:dyDescent="0.3">
      <c r="B428" s="51" t="str">
        <f>'Sales Data'!C427</f>
        <v>INV-2403-425</v>
      </c>
      <c r="C428" s="31"/>
      <c r="D428" s="16" t="str">
        <f>'Sales Data'!E427</f>
        <v>PC-IND-TV38F-20</v>
      </c>
      <c r="E428" s="52">
        <f>'Sales Data'!G427</f>
        <v>559</v>
      </c>
      <c r="F428" s="72">
        <f>'Sales Data'!H427</f>
        <v>22</v>
      </c>
      <c r="G428" s="73"/>
      <c r="H428" s="73">
        <f>(InvoiceDetails[[#This Row],[Qty]]*InvoiceDetails[[#This Row],[Unit price]])-InvoiceDetails[[#This Row],[Discount]]</f>
        <v>12298</v>
      </c>
    </row>
    <row r="429" spans="2:8" ht="34.049999999999997" customHeight="1" x14ac:dyDescent="0.3">
      <c r="B429" s="51" t="str">
        <f>'Sales Data'!C428</f>
        <v>INV-2403-426</v>
      </c>
      <c r="C429" s="31"/>
      <c r="D429" s="16" t="str">
        <f>'Sales Data'!E428</f>
        <v>ED-IND-LU82I-21</v>
      </c>
      <c r="E429" s="52">
        <f>'Sales Data'!G428</f>
        <v>611</v>
      </c>
      <c r="F429" s="72">
        <f>'Sales Data'!H428</f>
        <v>29</v>
      </c>
      <c r="G429" s="73"/>
      <c r="H429" s="73">
        <f>(InvoiceDetails[[#This Row],[Qty]]*InvoiceDetails[[#This Row],[Unit price]])-InvoiceDetails[[#This Row],[Discount]]</f>
        <v>17719</v>
      </c>
    </row>
    <row r="430" spans="2:8" ht="34.049999999999997" customHeight="1" x14ac:dyDescent="0.3">
      <c r="B430" s="51" t="str">
        <f>'Sales Data'!C429</f>
        <v>INV-2403-427</v>
      </c>
      <c r="C430" s="31"/>
      <c r="D430" s="16" t="str">
        <f>'Sales Data'!E429</f>
        <v>PC-IND-GW57R-80</v>
      </c>
      <c r="E430" s="52">
        <f>'Sales Data'!G429</f>
        <v>633</v>
      </c>
      <c r="F430" s="72">
        <f>'Sales Data'!H429</f>
        <v>23</v>
      </c>
      <c r="G430" s="73"/>
      <c r="H430" s="73">
        <f>(InvoiceDetails[[#This Row],[Qty]]*InvoiceDetails[[#This Row],[Unit price]])-InvoiceDetails[[#This Row],[Discount]]</f>
        <v>14559</v>
      </c>
    </row>
    <row r="431" spans="2:8" ht="34.049999999999997" customHeight="1" x14ac:dyDescent="0.3">
      <c r="B431" s="51" t="str">
        <f>'Sales Data'!C430</f>
        <v>INV-2403-428</v>
      </c>
      <c r="C431" s="31"/>
      <c r="D431" s="16" t="str">
        <f>'Sales Data'!E430</f>
        <v>PC-IND-TH48V-55</v>
      </c>
      <c r="E431" s="52">
        <f>'Sales Data'!G430</f>
        <v>594</v>
      </c>
      <c r="F431" s="72">
        <f>'Sales Data'!H430</f>
        <v>28</v>
      </c>
      <c r="G431" s="73"/>
      <c r="H431" s="73">
        <f>(InvoiceDetails[[#This Row],[Qty]]*InvoiceDetails[[#This Row],[Unit price]])-InvoiceDetails[[#This Row],[Discount]]</f>
        <v>16632</v>
      </c>
    </row>
    <row r="432" spans="2:8" ht="34.049999999999997" customHeight="1" x14ac:dyDescent="0.3">
      <c r="B432" s="51" t="str">
        <f>'Sales Data'!C431</f>
        <v>INV-2403-429</v>
      </c>
      <c r="C432" s="31"/>
      <c r="D432" s="16" t="str">
        <f>'Sales Data'!E431</f>
        <v>ED-IND-IH69L-89</v>
      </c>
      <c r="E432" s="52">
        <f>'Sales Data'!G431</f>
        <v>880</v>
      </c>
      <c r="F432" s="72">
        <f>'Sales Data'!H431</f>
        <v>24</v>
      </c>
      <c r="G432" s="73"/>
      <c r="H432" s="73">
        <f>(InvoiceDetails[[#This Row],[Qty]]*InvoiceDetails[[#This Row],[Unit price]])-InvoiceDetails[[#This Row],[Discount]]</f>
        <v>21120</v>
      </c>
    </row>
    <row r="433" spans="2:8" ht="34.049999999999997" customHeight="1" x14ac:dyDescent="0.3">
      <c r="B433" s="51" t="str">
        <f>'Sales Data'!C432</f>
        <v>INV-2403-430</v>
      </c>
      <c r="C433" s="31"/>
      <c r="D433" s="16" t="str">
        <f>'Sales Data'!E432</f>
        <v>ED-IND-WP36V-46</v>
      </c>
      <c r="E433" s="52">
        <f>'Sales Data'!G432</f>
        <v>530</v>
      </c>
      <c r="F433" s="72">
        <f>'Sales Data'!H432</f>
        <v>28</v>
      </c>
      <c r="G433" s="73"/>
      <c r="H433" s="73">
        <f>(InvoiceDetails[[#This Row],[Qty]]*InvoiceDetails[[#This Row],[Unit price]])-InvoiceDetails[[#This Row],[Discount]]</f>
        <v>14840</v>
      </c>
    </row>
    <row r="434" spans="2:8" ht="34.049999999999997" customHeight="1" x14ac:dyDescent="0.3">
      <c r="B434" s="51" t="str">
        <f>'Sales Data'!C433</f>
        <v>INV-2403-431</v>
      </c>
      <c r="C434" s="31"/>
      <c r="D434" s="16" t="str">
        <f>'Sales Data'!E433</f>
        <v>PC-IND-WI94H-32</v>
      </c>
      <c r="E434" s="52">
        <f>'Sales Data'!G433</f>
        <v>969</v>
      </c>
      <c r="F434" s="72">
        <f>'Sales Data'!H433</f>
        <v>26</v>
      </c>
      <c r="G434" s="73"/>
      <c r="H434" s="73">
        <f>(InvoiceDetails[[#This Row],[Qty]]*InvoiceDetails[[#This Row],[Unit price]])-InvoiceDetails[[#This Row],[Discount]]</f>
        <v>25194</v>
      </c>
    </row>
    <row r="435" spans="2:8" ht="34.049999999999997" customHeight="1" x14ac:dyDescent="0.3">
      <c r="B435" s="51" t="str">
        <f>'Sales Data'!C434</f>
        <v>INV-2403-432</v>
      </c>
      <c r="C435" s="31"/>
      <c r="D435" s="16" t="str">
        <f>'Sales Data'!E434</f>
        <v>ED-IND-CC44Q-46</v>
      </c>
      <c r="E435" s="52">
        <f>'Sales Data'!G434</f>
        <v>554</v>
      </c>
      <c r="F435" s="72">
        <f>'Sales Data'!H434</f>
        <v>28</v>
      </c>
      <c r="G435" s="73"/>
      <c r="H435" s="73">
        <f>(InvoiceDetails[[#This Row],[Qty]]*InvoiceDetails[[#This Row],[Unit price]])-InvoiceDetails[[#This Row],[Discount]]</f>
        <v>15512</v>
      </c>
    </row>
    <row r="436" spans="2:8" ht="34.049999999999997" customHeight="1" x14ac:dyDescent="0.3">
      <c r="B436" s="51" t="str">
        <f>'Sales Data'!C435</f>
        <v>INV-2403-433</v>
      </c>
      <c r="C436" s="31"/>
      <c r="D436" s="16" t="str">
        <f>'Sales Data'!E435</f>
        <v>PC-IND-ZH78L-24</v>
      </c>
      <c r="E436" s="52">
        <f>'Sales Data'!G435</f>
        <v>972</v>
      </c>
      <c r="F436" s="72">
        <f>'Sales Data'!H435</f>
        <v>31</v>
      </c>
      <c r="G436" s="73"/>
      <c r="H436" s="73">
        <f>(InvoiceDetails[[#This Row],[Qty]]*InvoiceDetails[[#This Row],[Unit price]])-InvoiceDetails[[#This Row],[Discount]]</f>
        <v>30132</v>
      </c>
    </row>
    <row r="437" spans="2:8" ht="34.049999999999997" customHeight="1" x14ac:dyDescent="0.3">
      <c r="B437" s="51" t="str">
        <f>'Sales Data'!C436</f>
        <v>INV-2403-434</v>
      </c>
      <c r="C437" s="31"/>
      <c r="D437" s="16" t="str">
        <f>'Sales Data'!E436</f>
        <v>ED-IND-YL38K-96</v>
      </c>
      <c r="E437" s="52">
        <f>'Sales Data'!G436</f>
        <v>795</v>
      </c>
      <c r="F437" s="72">
        <f>'Sales Data'!H436</f>
        <v>28</v>
      </c>
      <c r="G437" s="73"/>
      <c r="H437" s="73">
        <f>(InvoiceDetails[[#This Row],[Qty]]*InvoiceDetails[[#This Row],[Unit price]])-InvoiceDetails[[#This Row],[Discount]]</f>
        <v>22260</v>
      </c>
    </row>
    <row r="438" spans="2:8" ht="34.049999999999997" customHeight="1" x14ac:dyDescent="0.3">
      <c r="B438" s="51" t="str">
        <f>'Sales Data'!C437</f>
        <v>INV-2403-435</v>
      </c>
      <c r="C438" s="31"/>
      <c r="D438" s="16" t="str">
        <f>'Sales Data'!E437</f>
        <v>ED-IND-RB70L-41</v>
      </c>
      <c r="E438" s="52">
        <f>'Sales Data'!G437</f>
        <v>799</v>
      </c>
      <c r="F438" s="72">
        <f>'Sales Data'!H437</f>
        <v>30</v>
      </c>
      <c r="G438" s="73"/>
      <c r="H438" s="73">
        <f>(InvoiceDetails[[#This Row],[Qty]]*InvoiceDetails[[#This Row],[Unit price]])-InvoiceDetails[[#This Row],[Discount]]</f>
        <v>23970</v>
      </c>
    </row>
    <row r="439" spans="2:8" ht="34.049999999999997" customHeight="1" x14ac:dyDescent="0.3">
      <c r="B439" s="51" t="str">
        <f>'Sales Data'!C438</f>
        <v>INV-2403-436</v>
      </c>
      <c r="C439" s="31"/>
      <c r="D439" s="16" t="str">
        <f>'Sales Data'!E438</f>
        <v>PC-IND-KD55V-71</v>
      </c>
      <c r="E439" s="52">
        <f>'Sales Data'!G438</f>
        <v>657</v>
      </c>
      <c r="F439" s="72">
        <f>'Sales Data'!H438</f>
        <v>25</v>
      </c>
      <c r="G439" s="73"/>
      <c r="H439" s="73">
        <f>(InvoiceDetails[[#This Row],[Qty]]*InvoiceDetails[[#This Row],[Unit price]])-InvoiceDetails[[#This Row],[Discount]]</f>
        <v>16425</v>
      </c>
    </row>
    <row r="440" spans="2:8" ht="34.049999999999997" customHeight="1" x14ac:dyDescent="0.3">
      <c r="B440" s="51" t="str">
        <f>'Sales Data'!C439</f>
        <v>INV-2403-437</v>
      </c>
      <c r="C440" s="31"/>
      <c r="D440" s="16" t="str">
        <f>'Sales Data'!E439</f>
        <v>ED-IND-FC94J-15</v>
      </c>
      <c r="E440" s="52">
        <f>'Sales Data'!G439</f>
        <v>890</v>
      </c>
      <c r="F440" s="72">
        <f>'Sales Data'!H439</f>
        <v>22</v>
      </c>
      <c r="G440" s="73"/>
      <c r="H440" s="73">
        <f>(InvoiceDetails[[#This Row],[Qty]]*InvoiceDetails[[#This Row],[Unit price]])-InvoiceDetails[[#This Row],[Discount]]</f>
        <v>19580</v>
      </c>
    </row>
    <row r="441" spans="2:8" ht="34.049999999999997" customHeight="1" x14ac:dyDescent="0.3">
      <c r="B441" s="51" t="str">
        <f>'Sales Data'!C440</f>
        <v>INV-2403-438</v>
      </c>
      <c r="C441" s="31"/>
      <c r="D441" s="16" t="str">
        <f>'Sales Data'!E440</f>
        <v>ED-IND-RU34H-24</v>
      </c>
      <c r="E441" s="52">
        <f>'Sales Data'!G440</f>
        <v>541</v>
      </c>
      <c r="F441" s="72">
        <f>'Sales Data'!H440</f>
        <v>21</v>
      </c>
      <c r="G441" s="73"/>
      <c r="H441" s="73">
        <f>(InvoiceDetails[[#This Row],[Qty]]*InvoiceDetails[[#This Row],[Unit price]])-InvoiceDetails[[#This Row],[Discount]]</f>
        <v>11361</v>
      </c>
    </row>
    <row r="442" spans="2:8" ht="34.049999999999997" customHeight="1" x14ac:dyDescent="0.3">
      <c r="B442" s="51" t="str">
        <f>'Sales Data'!C441</f>
        <v>INV-2403-439</v>
      </c>
      <c r="C442" s="31"/>
      <c r="D442" s="16" t="str">
        <f>'Sales Data'!E441</f>
        <v>PC-IND-EZ59H-64</v>
      </c>
      <c r="E442" s="52">
        <f>'Sales Data'!G441</f>
        <v>686</v>
      </c>
      <c r="F442" s="72">
        <f>'Sales Data'!H441</f>
        <v>26</v>
      </c>
      <c r="G442" s="73"/>
      <c r="H442" s="73">
        <f>(InvoiceDetails[[#This Row],[Qty]]*InvoiceDetails[[#This Row],[Unit price]])-InvoiceDetails[[#This Row],[Discount]]</f>
        <v>17836</v>
      </c>
    </row>
    <row r="443" spans="2:8" ht="34.049999999999997" customHeight="1" x14ac:dyDescent="0.3">
      <c r="B443" s="51" t="str">
        <f>'Sales Data'!C442</f>
        <v>INV-2403-440</v>
      </c>
      <c r="C443" s="31"/>
      <c r="D443" s="16" t="str">
        <f>'Sales Data'!E442</f>
        <v>ED-IND-SK26U-33</v>
      </c>
      <c r="E443" s="52">
        <f>'Sales Data'!G442</f>
        <v>603</v>
      </c>
      <c r="F443" s="72">
        <f>'Sales Data'!H442</f>
        <v>25</v>
      </c>
      <c r="G443" s="73"/>
      <c r="H443" s="73">
        <f>(InvoiceDetails[[#This Row],[Qty]]*InvoiceDetails[[#This Row],[Unit price]])-InvoiceDetails[[#This Row],[Discount]]</f>
        <v>15075</v>
      </c>
    </row>
    <row r="444" spans="2:8" ht="34.049999999999997" customHeight="1" x14ac:dyDescent="0.3">
      <c r="B444" s="51" t="str">
        <f>'Sales Data'!C443</f>
        <v>INV-2403-441</v>
      </c>
      <c r="C444" s="31"/>
      <c r="D444" s="16" t="str">
        <f>'Sales Data'!E443</f>
        <v>ED-IND-ZW56K-80</v>
      </c>
      <c r="E444" s="52">
        <f>'Sales Data'!G443</f>
        <v>746</v>
      </c>
      <c r="F444" s="72">
        <f>'Sales Data'!H443</f>
        <v>23</v>
      </c>
      <c r="G444" s="73"/>
      <c r="H444" s="73">
        <f>(InvoiceDetails[[#This Row],[Qty]]*InvoiceDetails[[#This Row],[Unit price]])-InvoiceDetails[[#This Row],[Discount]]</f>
        <v>17158</v>
      </c>
    </row>
    <row r="445" spans="2:8" ht="34.049999999999997" customHeight="1" x14ac:dyDescent="0.3">
      <c r="B445" s="51" t="str">
        <f>'Sales Data'!C444</f>
        <v>INV-2403-442</v>
      </c>
      <c r="C445" s="31"/>
      <c r="D445" s="16" t="str">
        <f>'Sales Data'!E444</f>
        <v>ED-IND-RG52L-05</v>
      </c>
      <c r="E445" s="52">
        <f>'Sales Data'!G444</f>
        <v>802</v>
      </c>
      <c r="F445" s="72">
        <f>'Sales Data'!H444</f>
        <v>30</v>
      </c>
      <c r="G445" s="73"/>
      <c r="H445" s="73">
        <f>(InvoiceDetails[[#This Row],[Qty]]*InvoiceDetails[[#This Row],[Unit price]])-InvoiceDetails[[#This Row],[Discount]]</f>
        <v>24060</v>
      </c>
    </row>
    <row r="446" spans="2:8" ht="34.049999999999997" customHeight="1" x14ac:dyDescent="0.3">
      <c r="B446" s="51" t="str">
        <f>'Sales Data'!C445</f>
        <v>INV-2403-443</v>
      </c>
      <c r="C446" s="31"/>
      <c r="D446" s="16" t="str">
        <f>'Sales Data'!E445</f>
        <v>ED-IND-LP54M-80</v>
      </c>
      <c r="E446" s="52">
        <f>'Sales Data'!G445</f>
        <v>909</v>
      </c>
      <c r="F446" s="72">
        <f>'Sales Data'!H445</f>
        <v>24</v>
      </c>
      <c r="G446" s="73"/>
      <c r="H446" s="73">
        <f>(InvoiceDetails[[#This Row],[Qty]]*InvoiceDetails[[#This Row],[Unit price]])-InvoiceDetails[[#This Row],[Discount]]</f>
        <v>21816</v>
      </c>
    </row>
    <row r="447" spans="2:8" ht="34.049999999999997" customHeight="1" x14ac:dyDescent="0.3">
      <c r="B447" s="51" t="str">
        <f>'Sales Data'!C446</f>
        <v>INV-2403-444</v>
      </c>
      <c r="C447" s="31"/>
      <c r="D447" s="16" t="str">
        <f>'Sales Data'!E446</f>
        <v>ED-IND-VA64W-87</v>
      </c>
      <c r="E447" s="52">
        <f>'Sales Data'!G446</f>
        <v>772</v>
      </c>
      <c r="F447" s="72">
        <f>'Sales Data'!H446</f>
        <v>26</v>
      </c>
      <c r="G447" s="73"/>
      <c r="H447" s="73">
        <f>(InvoiceDetails[[#This Row],[Qty]]*InvoiceDetails[[#This Row],[Unit price]])-InvoiceDetails[[#This Row],[Discount]]</f>
        <v>20072</v>
      </c>
    </row>
    <row r="448" spans="2:8" ht="34.049999999999997" customHeight="1" x14ac:dyDescent="0.3">
      <c r="B448" s="51" t="str">
        <f>'Sales Data'!C447</f>
        <v>INV-2403-445</v>
      </c>
      <c r="C448" s="31"/>
      <c r="D448" s="16" t="str">
        <f>'Sales Data'!E447</f>
        <v>ED-IND-GY52O-25</v>
      </c>
      <c r="E448" s="52">
        <f>'Sales Data'!G447</f>
        <v>684</v>
      </c>
      <c r="F448" s="72">
        <f>'Sales Data'!H447</f>
        <v>25</v>
      </c>
      <c r="G448" s="73"/>
      <c r="H448" s="73">
        <f>(InvoiceDetails[[#This Row],[Qty]]*InvoiceDetails[[#This Row],[Unit price]])-InvoiceDetails[[#This Row],[Discount]]</f>
        <v>17100</v>
      </c>
    </row>
    <row r="449" spans="2:8" ht="34.049999999999997" customHeight="1" x14ac:dyDescent="0.3">
      <c r="B449" s="51" t="str">
        <f>'Sales Data'!C448</f>
        <v>INV-2403-446</v>
      </c>
      <c r="C449" s="31"/>
      <c r="D449" s="16" t="str">
        <f>'Sales Data'!E448</f>
        <v>ED-IND-FL12U-99</v>
      </c>
      <c r="E449" s="52">
        <f>'Sales Data'!G448</f>
        <v>937</v>
      </c>
      <c r="F449" s="72">
        <f>'Sales Data'!H448</f>
        <v>24</v>
      </c>
      <c r="G449" s="73"/>
      <c r="H449" s="73">
        <f>(InvoiceDetails[[#This Row],[Qty]]*InvoiceDetails[[#This Row],[Unit price]])-InvoiceDetails[[#This Row],[Discount]]</f>
        <v>22488</v>
      </c>
    </row>
    <row r="450" spans="2:8" ht="34.049999999999997" customHeight="1" x14ac:dyDescent="0.3">
      <c r="B450" s="51" t="str">
        <f>'Sales Data'!C449</f>
        <v>INV-2403-447</v>
      </c>
      <c r="C450" s="31"/>
      <c r="D450" s="16" t="str">
        <f>'Sales Data'!E449</f>
        <v>PC-IND-RK70Y-49</v>
      </c>
      <c r="E450" s="52">
        <f>'Sales Data'!G449</f>
        <v>849</v>
      </c>
      <c r="F450" s="72">
        <f>'Sales Data'!H449</f>
        <v>24</v>
      </c>
      <c r="G450" s="73"/>
      <c r="H450" s="73">
        <f>(InvoiceDetails[[#This Row],[Qty]]*InvoiceDetails[[#This Row],[Unit price]])-InvoiceDetails[[#This Row],[Discount]]</f>
        <v>20376</v>
      </c>
    </row>
    <row r="451" spans="2:8" ht="34.049999999999997" customHeight="1" x14ac:dyDescent="0.3">
      <c r="B451" s="51" t="str">
        <f>'Sales Data'!C450</f>
        <v>INV-2403-448</v>
      </c>
      <c r="C451" s="31"/>
      <c r="D451" s="16" t="str">
        <f>'Sales Data'!E450</f>
        <v>PC-IND-XF36Z-55</v>
      </c>
      <c r="E451" s="52">
        <f>'Sales Data'!G450</f>
        <v>981</v>
      </c>
      <c r="F451" s="72">
        <f>'Sales Data'!H450</f>
        <v>21</v>
      </c>
      <c r="G451" s="73"/>
      <c r="H451" s="73">
        <f>(InvoiceDetails[[#This Row],[Qty]]*InvoiceDetails[[#This Row],[Unit price]])-InvoiceDetails[[#This Row],[Discount]]</f>
        <v>20601</v>
      </c>
    </row>
    <row r="452" spans="2:8" ht="34.049999999999997" customHeight="1" x14ac:dyDescent="0.3">
      <c r="B452" s="51" t="str">
        <f>'Sales Data'!C451</f>
        <v>INV-2403-449</v>
      </c>
      <c r="C452" s="31"/>
      <c r="D452" s="16" t="str">
        <f>'Sales Data'!E451</f>
        <v>ED-IND-JZ11T-49</v>
      </c>
      <c r="E452" s="52">
        <f>'Sales Data'!G451</f>
        <v>777</v>
      </c>
      <c r="F452" s="72">
        <f>'Sales Data'!H451</f>
        <v>29</v>
      </c>
      <c r="G452" s="73"/>
      <c r="H452" s="73">
        <f>(InvoiceDetails[[#This Row],[Qty]]*InvoiceDetails[[#This Row],[Unit price]])-InvoiceDetails[[#This Row],[Discount]]</f>
        <v>22533</v>
      </c>
    </row>
    <row r="453" spans="2:8" ht="34.049999999999997" customHeight="1" x14ac:dyDescent="0.3">
      <c r="B453" s="51" t="str">
        <f>'Sales Data'!C452</f>
        <v>INV-2403-450</v>
      </c>
      <c r="C453" s="31"/>
      <c r="D453" s="16" t="str">
        <f>'Sales Data'!E452</f>
        <v>ED-IND-GP87Y-53</v>
      </c>
      <c r="E453" s="52">
        <f>'Sales Data'!G452</f>
        <v>795</v>
      </c>
      <c r="F453" s="72">
        <f>'Sales Data'!H452</f>
        <v>30</v>
      </c>
      <c r="G453" s="73"/>
      <c r="H453" s="73">
        <f>(InvoiceDetails[[#This Row],[Qty]]*InvoiceDetails[[#This Row],[Unit price]])-InvoiceDetails[[#This Row],[Discount]]</f>
        <v>23850</v>
      </c>
    </row>
    <row r="454" spans="2:8" ht="34.049999999999997" customHeight="1" x14ac:dyDescent="0.3">
      <c r="B454" s="51" t="str">
        <f>'Sales Data'!C453</f>
        <v>INV-2403-451</v>
      </c>
      <c r="C454" s="31"/>
      <c r="D454" s="16" t="str">
        <f>'Sales Data'!E453</f>
        <v>PC-IND-KJ59A-29</v>
      </c>
      <c r="E454" s="52">
        <f>'Sales Data'!G453</f>
        <v>571</v>
      </c>
      <c r="F454" s="72">
        <f>'Sales Data'!H453</f>
        <v>30</v>
      </c>
      <c r="G454" s="73"/>
      <c r="H454" s="73">
        <f>(InvoiceDetails[[#This Row],[Qty]]*InvoiceDetails[[#This Row],[Unit price]])-InvoiceDetails[[#This Row],[Discount]]</f>
        <v>17130</v>
      </c>
    </row>
    <row r="455" spans="2:8" ht="34.049999999999997" customHeight="1" x14ac:dyDescent="0.3">
      <c r="B455" s="51" t="str">
        <f>'Sales Data'!C454</f>
        <v>INV-2403-452</v>
      </c>
      <c r="C455" s="31"/>
      <c r="D455" s="16" t="str">
        <f>'Sales Data'!E454</f>
        <v>ED-IND-XG87M-46</v>
      </c>
      <c r="E455" s="52">
        <f>'Sales Data'!G454</f>
        <v>563</v>
      </c>
      <c r="F455" s="72">
        <f>'Sales Data'!H454</f>
        <v>27</v>
      </c>
      <c r="G455" s="73"/>
      <c r="H455" s="73">
        <f>(InvoiceDetails[[#This Row],[Qty]]*InvoiceDetails[[#This Row],[Unit price]])-InvoiceDetails[[#This Row],[Discount]]</f>
        <v>15201</v>
      </c>
    </row>
    <row r="456" spans="2:8" ht="34.049999999999997" customHeight="1" x14ac:dyDescent="0.3">
      <c r="B456" s="51" t="str">
        <f>'Sales Data'!C455</f>
        <v>INV-2403-453</v>
      </c>
      <c r="C456" s="31"/>
      <c r="D456" s="16" t="str">
        <f>'Sales Data'!E455</f>
        <v>ED-IND-IX60T-53</v>
      </c>
      <c r="E456" s="52">
        <f>'Sales Data'!G455</f>
        <v>570</v>
      </c>
      <c r="F456" s="72">
        <f>'Sales Data'!H455</f>
        <v>26</v>
      </c>
      <c r="G456" s="73"/>
      <c r="H456" s="73">
        <f>(InvoiceDetails[[#This Row],[Qty]]*InvoiceDetails[[#This Row],[Unit price]])-InvoiceDetails[[#This Row],[Discount]]</f>
        <v>14820</v>
      </c>
    </row>
    <row r="457" spans="2:8" ht="34.049999999999997" customHeight="1" x14ac:dyDescent="0.3">
      <c r="B457" s="51" t="str">
        <f>'Sales Data'!C456</f>
        <v>INV-2404-454</v>
      </c>
      <c r="C457" s="31"/>
      <c r="D457" s="16" t="str">
        <f>'Sales Data'!E456</f>
        <v>ED-IND-ZX63T-91</v>
      </c>
      <c r="E457" s="52">
        <f>'Sales Data'!G456</f>
        <v>673</v>
      </c>
      <c r="F457" s="72">
        <f>'Sales Data'!H456</f>
        <v>21</v>
      </c>
      <c r="G457" s="73"/>
      <c r="H457" s="73">
        <f>(InvoiceDetails[[#This Row],[Qty]]*InvoiceDetails[[#This Row],[Unit price]])-InvoiceDetails[[#This Row],[Discount]]</f>
        <v>14133</v>
      </c>
    </row>
    <row r="458" spans="2:8" ht="34.049999999999997" customHeight="1" x14ac:dyDescent="0.3">
      <c r="B458" s="51" t="str">
        <f>'Sales Data'!C457</f>
        <v>INV-2404-455</v>
      </c>
      <c r="C458" s="31"/>
      <c r="D458" s="16" t="str">
        <f>'Sales Data'!E457</f>
        <v>ED-IND-MX65B-33</v>
      </c>
      <c r="E458" s="52">
        <f>'Sales Data'!G457</f>
        <v>597</v>
      </c>
      <c r="F458" s="72">
        <f>'Sales Data'!H457</f>
        <v>26</v>
      </c>
      <c r="G458" s="73"/>
      <c r="H458" s="73">
        <f>(InvoiceDetails[[#This Row],[Qty]]*InvoiceDetails[[#This Row],[Unit price]])-InvoiceDetails[[#This Row],[Discount]]</f>
        <v>15522</v>
      </c>
    </row>
    <row r="459" spans="2:8" ht="34.049999999999997" customHeight="1" x14ac:dyDescent="0.3">
      <c r="B459" s="51" t="str">
        <f>'Sales Data'!C458</f>
        <v>INV-2404-456</v>
      </c>
      <c r="C459" s="31"/>
      <c r="D459" s="16" t="str">
        <f>'Sales Data'!E458</f>
        <v>ED-IND-UF79Y-15</v>
      </c>
      <c r="E459" s="52">
        <f>'Sales Data'!G458</f>
        <v>723</v>
      </c>
      <c r="F459" s="72">
        <f>'Sales Data'!H458</f>
        <v>29</v>
      </c>
      <c r="G459" s="73"/>
      <c r="H459" s="73">
        <f>(InvoiceDetails[[#This Row],[Qty]]*InvoiceDetails[[#This Row],[Unit price]])-InvoiceDetails[[#This Row],[Discount]]</f>
        <v>20967</v>
      </c>
    </row>
    <row r="460" spans="2:8" ht="34.049999999999997" customHeight="1" x14ac:dyDescent="0.3">
      <c r="B460" s="51" t="str">
        <f>'Sales Data'!C459</f>
        <v>INV-2404-457</v>
      </c>
      <c r="C460" s="31"/>
      <c r="D460" s="16" t="str">
        <f>'Sales Data'!E459</f>
        <v>PC-IND-CL66K-81</v>
      </c>
      <c r="E460" s="52">
        <f>'Sales Data'!G459</f>
        <v>695</v>
      </c>
      <c r="F460" s="72">
        <f>'Sales Data'!H459</f>
        <v>28</v>
      </c>
      <c r="G460" s="73"/>
      <c r="H460" s="73">
        <f>(InvoiceDetails[[#This Row],[Qty]]*InvoiceDetails[[#This Row],[Unit price]])-InvoiceDetails[[#This Row],[Discount]]</f>
        <v>19460</v>
      </c>
    </row>
    <row r="461" spans="2:8" ht="34.049999999999997" customHeight="1" x14ac:dyDescent="0.3">
      <c r="B461" s="51" t="str">
        <f>'Sales Data'!C460</f>
        <v>INV-2404-458</v>
      </c>
      <c r="C461" s="31"/>
      <c r="D461" s="16" t="str">
        <f>'Sales Data'!E460</f>
        <v>PC-IND-HD72A-18</v>
      </c>
      <c r="E461" s="52">
        <f>'Sales Data'!G460</f>
        <v>921</v>
      </c>
      <c r="F461" s="72">
        <f>'Sales Data'!H460</f>
        <v>21</v>
      </c>
      <c r="G461" s="73"/>
      <c r="H461" s="73">
        <f>(InvoiceDetails[[#This Row],[Qty]]*InvoiceDetails[[#This Row],[Unit price]])-InvoiceDetails[[#This Row],[Discount]]</f>
        <v>19341</v>
      </c>
    </row>
    <row r="462" spans="2:8" ht="34.049999999999997" customHeight="1" x14ac:dyDescent="0.3">
      <c r="B462" s="51" t="str">
        <f>'Sales Data'!C461</f>
        <v>INV-2404-459</v>
      </c>
      <c r="C462" s="31"/>
      <c r="D462" s="16" t="str">
        <f>'Sales Data'!E461</f>
        <v>ED-IND-XT68O-72</v>
      </c>
      <c r="E462" s="52">
        <f>'Sales Data'!G461</f>
        <v>800</v>
      </c>
      <c r="F462" s="72">
        <f>'Sales Data'!H461</f>
        <v>26</v>
      </c>
      <c r="G462" s="73"/>
      <c r="H462" s="73">
        <f>(InvoiceDetails[[#This Row],[Qty]]*InvoiceDetails[[#This Row],[Unit price]])-InvoiceDetails[[#This Row],[Discount]]</f>
        <v>20800</v>
      </c>
    </row>
    <row r="463" spans="2:8" ht="34.049999999999997" customHeight="1" x14ac:dyDescent="0.3">
      <c r="B463" s="51" t="str">
        <f>'Sales Data'!C462</f>
        <v>INV-2404-460</v>
      </c>
      <c r="C463" s="31"/>
      <c r="D463" s="16" t="str">
        <f>'Sales Data'!E462</f>
        <v>ED-IND-EL18K-72</v>
      </c>
      <c r="E463" s="52">
        <f>'Sales Data'!G462</f>
        <v>828</v>
      </c>
      <c r="F463" s="72">
        <f>'Sales Data'!H462</f>
        <v>28</v>
      </c>
      <c r="G463" s="73"/>
      <c r="H463" s="73">
        <f>(InvoiceDetails[[#This Row],[Qty]]*InvoiceDetails[[#This Row],[Unit price]])-InvoiceDetails[[#This Row],[Discount]]</f>
        <v>23184</v>
      </c>
    </row>
    <row r="464" spans="2:8" ht="34.049999999999997" customHeight="1" x14ac:dyDescent="0.3">
      <c r="B464" s="51" t="str">
        <f>'Sales Data'!C463</f>
        <v>INV-2404-461</v>
      </c>
      <c r="C464" s="31"/>
      <c r="D464" s="16" t="str">
        <f>'Sales Data'!E463</f>
        <v>ED-IND-MS24V-94</v>
      </c>
      <c r="E464" s="52">
        <f>'Sales Data'!G463</f>
        <v>676</v>
      </c>
      <c r="F464" s="72">
        <f>'Sales Data'!H463</f>
        <v>21</v>
      </c>
      <c r="G464" s="73"/>
      <c r="H464" s="73">
        <f>(InvoiceDetails[[#This Row],[Qty]]*InvoiceDetails[[#This Row],[Unit price]])-InvoiceDetails[[#This Row],[Discount]]</f>
        <v>14196</v>
      </c>
    </row>
    <row r="465" spans="2:8" ht="34.049999999999997" customHeight="1" x14ac:dyDescent="0.3">
      <c r="B465" s="51" t="str">
        <f>'Sales Data'!C464</f>
        <v>INV-2404-462</v>
      </c>
      <c r="C465" s="31"/>
      <c r="D465" s="16" t="str">
        <f>'Sales Data'!E464</f>
        <v>ED-IND-VG37N-91</v>
      </c>
      <c r="E465" s="52">
        <f>'Sales Data'!G464</f>
        <v>941</v>
      </c>
      <c r="F465" s="72">
        <f>'Sales Data'!H464</f>
        <v>24</v>
      </c>
      <c r="G465" s="73"/>
      <c r="H465" s="73">
        <f>(InvoiceDetails[[#This Row],[Qty]]*InvoiceDetails[[#This Row],[Unit price]])-InvoiceDetails[[#This Row],[Discount]]</f>
        <v>22584</v>
      </c>
    </row>
    <row r="466" spans="2:8" ht="34.049999999999997" customHeight="1" x14ac:dyDescent="0.3">
      <c r="B466" s="51" t="str">
        <f>'Sales Data'!C465</f>
        <v>INV-2404-463</v>
      </c>
      <c r="C466" s="31"/>
      <c r="D466" s="16" t="str">
        <f>'Sales Data'!E465</f>
        <v>ED-IND-FX61T-41</v>
      </c>
      <c r="E466" s="52">
        <f>'Sales Data'!G465</f>
        <v>903</v>
      </c>
      <c r="F466" s="72">
        <f>'Sales Data'!H465</f>
        <v>24</v>
      </c>
      <c r="G466" s="73"/>
      <c r="H466" s="73">
        <f>(InvoiceDetails[[#This Row],[Qty]]*InvoiceDetails[[#This Row],[Unit price]])-InvoiceDetails[[#This Row],[Discount]]</f>
        <v>21672</v>
      </c>
    </row>
    <row r="467" spans="2:8" ht="34.049999999999997" customHeight="1" x14ac:dyDescent="0.3">
      <c r="B467" s="51" t="str">
        <f>'Sales Data'!C466</f>
        <v>INV-2404-464</v>
      </c>
      <c r="C467" s="31"/>
      <c r="D467" s="16" t="str">
        <f>'Sales Data'!E466</f>
        <v>ED-IND-XG43H-75</v>
      </c>
      <c r="E467" s="52">
        <f>'Sales Data'!G466</f>
        <v>529</v>
      </c>
      <c r="F467" s="72">
        <f>'Sales Data'!H466</f>
        <v>27</v>
      </c>
      <c r="G467" s="73"/>
      <c r="H467" s="73">
        <f>(InvoiceDetails[[#This Row],[Qty]]*InvoiceDetails[[#This Row],[Unit price]])-InvoiceDetails[[#This Row],[Discount]]</f>
        <v>14283</v>
      </c>
    </row>
    <row r="468" spans="2:8" ht="34.049999999999997" customHeight="1" x14ac:dyDescent="0.3">
      <c r="B468" s="51" t="str">
        <f>'Sales Data'!C467</f>
        <v>INV-2404-465</v>
      </c>
      <c r="C468" s="31"/>
      <c r="D468" s="16" t="str">
        <f>'Sales Data'!E467</f>
        <v>ED-IND-ZI56Y-82</v>
      </c>
      <c r="E468" s="52">
        <f>'Sales Data'!G467</f>
        <v>834</v>
      </c>
      <c r="F468" s="72">
        <f>'Sales Data'!H467</f>
        <v>21</v>
      </c>
      <c r="G468" s="73"/>
      <c r="H468" s="73">
        <f>(InvoiceDetails[[#This Row],[Qty]]*InvoiceDetails[[#This Row],[Unit price]])-InvoiceDetails[[#This Row],[Discount]]</f>
        <v>17514</v>
      </c>
    </row>
    <row r="469" spans="2:8" ht="34.049999999999997" customHeight="1" x14ac:dyDescent="0.3">
      <c r="B469" s="51" t="str">
        <f>'Sales Data'!C468</f>
        <v>INV-2404-466</v>
      </c>
      <c r="C469" s="31"/>
      <c r="D469" s="16" t="str">
        <f>'Sales Data'!E468</f>
        <v>ED-IND-XK95I-97</v>
      </c>
      <c r="E469" s="52">
        <f>'Sales Data'!G468</f>
        <v>961</v>
      </c>
      <c r="F469" s="72">
        <f>'Sales Data'!H468</f>
        <v>27</v>
      </c>
      <c r="G469" s="73"/>
      <c r="H469" s="73">
        <f>(InvoiceDetails[[#This Row],[Qty]]*InvoiceDetails[[#This Row],[Unit price]])-InvoiceDetails[[#This Row],[Discount]]</f>
        <v>25947</v>
      </c>
    </row>
    <row r="470" spans="2:8" ht="34.049999999999997" customHeight="1" x14ac:dyDescent="0.3">
      <c r="B470" s="51" t="str">
        <f>'Sales Data'!C469</f>
        <v>INV-2404-467</v>
      </c>
      <c r="C470" s="31"/>
      <c r="D470" s="16" t="str">
        <f>'Sales Data'!E469</f>
        <v>ED-IND-FH73Y-70</v>
      </c>
      <c r="E470" s="52">
        <f>'Sales Data'!G469</f>
        <v>649</v>
      </c>
      <c r="F470" s="72">
        <f>'Sales Data'!H469</f>
        <v>25</v>
      </c>
      <c r="G470" s="73"/>
      <c r="H470" s="73">
        <f>(InvoiceDetails[[#This Row],[Qty]]*InvoiceDetails[[#This Row],[Unit price]])-InvoiceDetails[[#This Row],[Discount]]</f>
        <v>16225</v>
      </c>
    </row>
    <row r="471" spans="2:8" ht="34.049999999999997" customHeight="1" x14ac:dyDescent="0.3">
      <c r="B471" s="51" t="str">
        <f>'Sales Data'!C470</f>
        <v>INV-2404-468</v>
      </c>
      <c r="C471" s="31"/>
      <c r="D471" s="16" t="str">
        <f>'Sales Data'!E470</f>
        <v>ED-IND-UI14M-96</v>
      </c>
      <c r="E471" s="52">
        <f>'Sales Data'!G470</f>
        <v>784</v>
      </c>
      <c r="F471" s="72">
        <f>'Sales Data'!H470</f>
        <v>22</v>
      </c>
      <c r="G471" s="73"/>
      <c r="H471" s="73">
        <f>(InvoiceDetails[[#This Row],[Qty]]*InvoiceDetails[[#This Row],[Unit price]])-InvoiceDetails[[#This Row],[Discount]]</f>
        <v>17248</v>
      </c>
    </row>
    <row r="472" spans="2:8" ht="34.049999999999997" customHeight="1" x14ac:dyDescent="0.3">
      <c r="B472" s="51" t="str">
        <f>'Sales Data'!C471</f>
        <v>INV-2404-469</v>
      </c>
      <c r="C472" s="31"/>
      <c r="D472" s="16" t="str">
        <f>'Sales Data'!E471</f>
        <v>ED-IND-YB24P-98</v>
      </c>
      <c r="E472" s="52">
        <f>'Sales Data'!G471</f>
        <v>868</v>
      </c>
      <c r="F472" s="72">
        <f>'Sales Data'!H471</f>
        <v>26</v>
      </c>
      <c r="G472" s="73"/>
      <c r="H472" s="73">
        <f>(InvoiceDetails[[#This Row],[Qty]]*InvoiceDetails[[#This Row],[Unit price]])-InvoiceDetails[[#This Row],[Discount]]</f>
        <v>22568</v>
      </c>
    </row>
    <row r="473" spans="2:8" ht="34.049999999999997" customHeight="1" x14ac:dyDescent="0.3">
      <c r="B473" s="51" t="str">
        <f>'Sales Data'!C472</f>
        <v>INV-2404-470</v>
      </c>
      <c r="C473" s="31"/>
      <c r="D473" s="16" t="str">
        <f>'Sales Data'!E472</f>
        <v>ED-IND-UN50O-99</v>
      </c>
      <c r="E473" s="52">
        <f>'Sales Data'!G472</f>
        <v>555</v>
      </c>
      <c r="F473" s="72">
        <f>'Sales Data'!H472</f>
        <v>31</v>
      </c>
      <c r="G473" s="73"/>
      <c r="H473" s="73">
        <f>(InvoiceDetails[[#This Row],[Qty]]*InvoiceDetails[[#This Row],[Unit price]])-InvoiceDetails[[#This Row],[Discount]]</f>
        <v>17205</v>
      </c>
    </row>
    <row r="474" spans="2:8" ht="34.049999999999997" customHeight="1" x14ac:dyDescent="0.3">
      <c r="B474" s="51" t="str">
        <f>'Sales Data'!C473</f>
        <v>INV-2404-471</v>
      </c>
      <c r="C474" s="31"/>
      <c r="D474" s="16" t="str">
        <f>'Sales Data'!E473</f>
        <v>ED-IND-YT69S-10</v>
      </c>
      <c r="E474" s="52">
        <f>'Sales Data'!G473</f>
        <v>634</v>
      </c>
      <c r="F474" s="72">
        <f>'Sales Data'!H473</f>
        <v>27</v>
      </c>
      <c r="G474" s="73"/>
      <c r="H474" s="73">
        <f>(InvoiceDetails[[#This Row],[Qty]]*InvoiceDetails[[#This Row],[Unit price]])-InvoiceDetails[[#This Row],[Discount]]</f>
        <v>17118</v>
      </c>
    </row>
    <row r="475" spans="2:8" ht="34.049999999999997" customHeight="1" x14ac:dyDescent="0.3">
      <c r="B475" s="51" t="str">
        <f>'Sales Data'!C474</f>
        <v>INV-2404-472</v>
      </c>
      <c r="C475" s="31"/>
      <c r="D475" s="16" t="str">
        <f>'Sales Data'!E474</f>
        <v>ED-IND-WK23M-46</v>
      </c>
      <c r="E475" s="52">
        <f>'Sales Data'!G474</f>
        <v>846</v>
      </c>
      <c r="F475" s="72">
        <f>'Sales Data'!H474</f>
        <v>31</v>
      </c>
      <c r="G475" s="73"/>
      <c r="H475" s="73">
        <f>(InvoiceDetails[[#This Row],[Qty]]*InvoiceDetails[[#This Row],[Unit price]])-InvoiceDetails[[#This Row],[Discount]]</f>
        <v>26226</v>
      </c>
    </row>
    <row r="476" spans="2:8" ht="34.049999999999997" customHeight="1" x14ac:dyDescent="0.3">
      <c r="B476" s="51" t="str">
        <f>'Sales Data'!C475</f>
        <v>INV-2404-473</v>
      </c>
      <c r="C476" s="31"/>
      <c r="D476" s="16" t="str">
        <f>'Sales Data'!E475</f>
        <v>ED-IND-FH28I-67</v>
      </c>
      <c r="E476" s="52">
        <f>'Sales Data'!G475</f>
        <v>723</v>
      </c>
      <c r="F476" s="72">
        <f>'Sales Data'!H475</f>
        <v>30</v>
      </c>
      <c r="G476" s="73"/>
      <c r="H476" s="73">
        <f>(InvoiceDetails[[#This Row],[Qty]]*InvoiceDetails[[#This Row],[Unit price]])-InvoiceDetails[[#This Row],[Discount]]</f>
        <v>21690</v>
      </c>
    </row>
    <row r="477" spans="2:8" ht="34.049999999999997" customHeight="1" x14ac:dyDescent="0.3">
      <c r="B477" s="51" t="str">
        <f>'Sales Data'!C476</f>
        <v>INV-2404-474</v>
      </c>
      <c r="C477" s="31"/>
      <c r="D477" s="16" t="str">
        <f>'Sales Data'!E476</f>
        <v>ED-IND-FR75G-33</v>
      </c>
      <c r="E477" s="52">
        <f>'Sales Data'!G476</f>
        <v>748</v>
      </c>
      <c r="F477" s="72">
        <f>'Sales Data'!H476</f>
        <v>30</v>
      </c>
      <c r="G477" s="73"/>
      <c r="H477" s="73">
        <f>(InvoiceDetails[[#This Row],[Qty]]*InvoiceDetails[[#This Row],[Unit price]])-InvoiceDetails[[#This Row],[Discount]]</f>
        <v>22440</v>
      </c>
    </row>
    <row r="478" spans="2:8" ht="34.049999999999997" customHeight="1" x14ac:dyDescent="0.3">
      <c r="B478" s="51" t="str">
        <f>'Sales Data'!C477</f>
        <v>INV-2404-475</v>
      </c>
      <c r="C478" s="31"/>
      <c r="D478" s="16" t="str">
        <f>'Sales Data'!E477</f>
        <v>ED-IND-XS66G-28</v>
      </c>
      <c r="E478" s="52">
        <f>'Sales Data'!G477</f>
        <v>739</v>
      </c>
      <c r="F478" s="72">
        <f>'Sales Data'!H477</f>
        <v>31</v>
      </c>
      <c r="G478" s="73"/>
      <c r="H478" s="73">
        <f>(InvoiceDetails[[#This Row],[Qty]]*InvoiceDetails[[#This Row],[Unit price]])-InvoiceDetails[[#This Row],[Discount]]</f>
        <v>22909</v>
      </c>
    </row>
    <row r="479" spans="2:8" ht="34.049999999999997" customHeight="1" x14ac:dyDescent="0.3">
      <c r="B479" s="51" t="str">
        <f>'Sales Data'!C478</f>
        <v>INV-2404-476</v>
      </c>
      <c r="C479" s="31"/>
      <c r="D479" s="16" t="str">
        <f>'Sales Data'!E478</f>
        <v>ED-IND-SR15F-05</v>
      </c>
      <c r="E479" s="52">
        <f>'Sales Data'!G478</f>
        <v>518</v>
      </c>
      <c r="F479" s="72">
        <f>'Sales Data'!H478</f>
        <v>24</v>
      </c>
      <c r="G479" s="73"/>
      <c r="H479" s="73">
        <f>(InvoiceDetails[[#This Row],[Qty]]*InvoiceDetails[[#This Row],[Unit price]])-InvoiceDetails[[#This Row],[Discount]]</f>
        <v>12432</v>
      </c>
    </row>
    <row r="480" spans="2:8" ht="34.049999999999997" customHeight="1" x14ac:dyDescent="0.3">
      <c r="B480" s="51" t="str">
        <f>'Sales Data'!C479</f>
        <v>INV-2404-477</v>
      </c>
      <c r="C480" s="31"/>
      <c r="D480" s="16" t="str">
        <f>'Sales Data'!E479</f>
        <v>PC-IND-SZ23D-77</v>
      </c>
      <c r="E480" s="52">
        <f>'Sales Data'!G479</f>
        <v>875</v>
      </c>
      <c r="F480" s="72">
        <f>'Sales Data'!H479</f>
        <v>25</v>
      </c>
      <c r="G480" s="73"/>
      <c r="H480" s="73">
        <f>(InvoiceDetails[[#This Row],[Qty]]*InvoiceDetails[[#This Row],[Unit price]])-InvoiceDetails[[#This Row],[Discount]]</f>
        <v>21875</v>
      </c>
    </row>
    <row r="481" spans="2:8" ht="34.049999999999997" customHeight="1" x14ac:dyDescent="0.3">
      <c r="B481" s="51" t="str">
        <f>'Sales Data'!C480</f>
        <v>INV-2404-478</v>
      </c>
      <c r="C481" s="31"/>
      <c r="D481" s="16" t="str">
        <f>'Sales Data'!E480</f>
        <v>PC-IND-OF37E-72</v>
      </c>
      <c r="E481" s="52">
        <f>'Sales Data'!G480</f>
        <v>865</v>
      </c>
      <c r="F481" s="72">
        <f>'Sales Data'!H480</f>
        <v>26</v>
      </c>
      <c r="G481" s="73"/>
      <c r="H481" s="73">
        <f>(InvoiceDetails[[#This Row],[Qty]]*InvoiceDetails[[#This Row],[Unit price]])-InvoiceDetails[[#This Row],[Discount]]</f>
        <v>22490</v>
      </c>
    </row>
    <row r="482" spans="2:8" ht="34.049999999999997" customHeight="1" x14ac:dyDescent="0.3">
      <c r="B482" s="51" t="str">
        <f>'Sales Data'!C481</f>
        <v>INV-2404-479</v>
      </c>
      <c r="C482" s="31"/>
      <c r="D482" s="16" t="str">
        <f>'Sales Data'!E481</f>
        <v>PC-IND-RF53K-15</v>
      </c>
      <c r="E482" s="52">
        <f>'Sales Data'!G481</f>
        <v>854</v>
      </c>
      <c r="F482" s="72">
        <f>'Sales Data'!H481</f>
        <v>28</v>
      </c>
      <c r="G482" s="73"/>
      <c r="H482" s="73">
        <f>(InvoiceDetails[[#This Row],[Qty]]*InvoiceDetails[[#This Row],[Unit price]])-InvoiceDetails[[#This Row],[Discount]]</f>
        <v>23912</v>
      </c>
    </row>
    <row r="483" spans="2:8" ht="34.049999999999997" customHeight="1" x14ac:dyDescent="0.3">
      <c r="B483" s="51" t="str">
        <f>'Sales Data'!C482</f>
        <v>INV-2404-480</v>
      </c>
      <c r="C483" s="31"/>
      <c r="D483" s="16" t="str">
        <f>'Sales Data'!E482</f>
        <v>PC-IND-YE51J-23</v>
      </c>
      <c r="E483" s="52">
        <f>'Sales Data'!G482</f>
        <v>823</v>
      </c>
      <c r="F483" s="72">
        <f>'Sales Data'!H482</f>
        <v>30</v>
      </c>
      <c r="G483" s="73"/>
      <c r="H483" s="73">
        <f>(InvoiceDetails[[#This Row],[Qty]]*InvoiceDetails[[#This Row],[Unit price]])-InvoiceDetails[[#This Row],[Discount]]</f>
        <v>24690</v>
      </c>
    </row>
    <row r="484" spans="2:8" ht="34.049999999999997" customHeight="1" x14ac:dyDescent="0.3">
      <c r="B484" s="51" t="str">
        <f>'Sales Data'!C483</f>
        <v>INV-2404-481</v>
      </c>
      <c r="C484" s="31"/>
      <c r="D484" s="16" t="str">
        <f>'Sales Data'!E483</f>
        <v>ED-IND-PN45W-80</v>
      </c>
      <c r="E484" s="52">
        <f>'Sales Data'!G483</f>
        <v>817</v>
      </c>
      <c r="F484" s="72">
        <f>'Sales Data'!H483</f>
        <v>27</v>
      </c>
      <c r="G484" s="73"/>
      <c r="H484" s="73">
        <f>(InvoiceDetails[[#This Row],[Qty]]*InvoiceDetails[[#This Row],[Unit price]])-InvoiceDetails[[#This Row],[Discount]]</f>
        <v>22059</v>
      </c>
    </row>
    <row r="485" spans="2:8" ht="34.049999999999997" customHeight="1" x14ac:dyDescent="0.3">
      <c r="B485" s="51" t="str">
        <f>'Sales Data'!C484</f>
        <v>INV-2404-482</v>
      </c>
      <c r="C485" s="31"/>
      <c r="D485" s="16" t="str">
        <f>'Sales Data'!E484</f>
        <v>ED-IND-UK76B-44</v>
      </c>
      <c r="E485" s="52">
        <f>'Sales Data'!G484</f>
        <v>572</v>
      </c>
      <c r="F485" s="72">
        <f>'Sales Data'!H484</f>
        <v>21</v>
      </c>
      <c r="G485" s="73"/>
      <c r="H485" s="73">
        <f>(InvoiceDetails[[#This Row],[Qty]]*InvoiceDetails[[#This Row],[Unit price]])-InvoiceDetails[[#This Row],[Discount]]</f>
        <v>12012</v>
      </c>
    </row>
    <row r="486" spans="2:8" ht="34.049999999999997" customHeight="1" x14ac:dyDescent="0.3">
      <c r="B486" s="51" t="str">
        <f>'Sales Data'!C485</f>
        <v>INV-2404-483</v>
      </c>
      <c r="C486" s="31"/>
      <c r="D486" s="16" t="str">
        <f>'Sales Data'!E485</f>
        <v>ED-IND-ZQ23E-67</v>
      </c>
      <c r="E486" s="52">
        <f>'Sales Data'!G485</f>
        <v>794</v>
      </c>
      <c r="F486" s="72">
        <f>'Sales Data'!H485</f>
        <v>25</v>
      </c>
      <c r="G486" s="73"/>
      <c r="H486" s="73">
        <f>(InvoiceDetails[[#This Row],[Qty]]*InvoiceDetails[[#This Row],[Unit price]])-InvoiceDetails[[#This Row],[Discount]]</f>
        <v>19850</v>
      </c>
    </row>
    <row r="487" spans="2:8" ht="34.049999999999997" customHeight="1" x14ac:dyDescent="0.3">
      <c r="B487" s="51" t="str">
        <f>'Sales Data'!C486</f>
        <v>INV-2405-484</v>
      </c>
      <c r="C487" s="31"/>
      <c r="D487" s="16" t="str">
        <f>'Sales Data'!E486</f>
        <v>ED-IND-SN66C-87</v>
      </c>
      <c r="E487" s="52">
        <f>'Sales Data'!G486</f>
        <v>970</v>
      </c>
      <c r="F487" s="72">
        <f>'Sales Data'!H486</f>
        <v>31</v>
      </c>
      <c r="G487" s="73"/>
      <c r="H487" s="73">
        <f>(InvoiceDetails[[#This Row],[Qty]]*InvoiceDetails[[#This Row],[Unit price]])-InvoiceDetails[[#This Row],[Discount]]</f>
        <v>30070</v>
      </c>
    </row>
    <row r="488" spans="2:8" ht="34.049999999999997" customHeight="1" x14ac:dyDescent="0.3">
      <c r="B488" s="51" t="str">
        <f>'Sales Data'!C487</f>
        <v>INV-2405-485</v>
      </c>
      <c r="C488" s="31"/>
      <c r="D488" s="16" t="str">
        <f>'Sales Data'!E487</f>
        <v>ED-IND-LG63W-48</v>
      </c>
      <c r="E488" s="52">
        <f>'Sales Data'!G487</f>
        <v>854</v>
      </c>
      <c r="F488" s="72">
        <f>'Sales Data'!H487</f>
        <v>28</v>
      </c>
      <c r="G488" s="73"/>
      <c r="H488" s="73">
        <f>(InvoiceDetails[[#This Row],[Qty]]*InvoiceDetails[[#This Row],[Unit price]])-InvoiceDetails[[#This Row],[Discount]]</f>
        <v>23912</v>
      </c>
    </row>
    <row r="489" spans="2:8" ht="34.049999999999997" customHeight="1" x14ac:dyDescent="0.3">
      <c r="B489" s="51" t="str">
        <f>'Sales Data'!C488</f>
        <v>INV-2405-486</v>
      </c>
      <c r="C489" s="31"/>
      <c r="D489" s="16" t="str">
        <f>'Sales Data'!E488</f>
        <v>PC-IND-FG29F-27</v>
      </c>
      <c r="E489" s="52">
        <f>'Sales Data'!G488</f>
        <v>741</v>
      </c>
      <c r="F489" s="72">
        <f>'Sales Data'!H488</f>
        <v>22</v>
      </c>
      <c r="G489" s="73"/>
      <c r="H489" s="73">
        <f>(InvoiceDetails[[#This Row],[Qty]]*InvoiceDetails[[#This Row],[Unit price]])-InvoiceDetails[[#This Row],[Discount]]</f>
        <v>16302</v>
      </c>
    </row>
    <row r="490" spans="2:8" ht="34.049999999999997" customHeight="1" x14ac:dyDescent="0.3">
      <c r="B490" s="51" t="str">
        <f>'Sales Data'!C489</f>
        <v>INV-2405-487</v>
      </c>
      <c r="C490" s="31"/>
      <c r="D490" s="16" t="str">
        <f>'Sales Data'!E489</f>
        <v>ED-IND-WQ77V-80</v>
      </c>
      <c r="E490" s="52">
        <f>'Sales Data'!G489</f>
        <v>565</v>
      </c>
      <c r="F490" s="72">
        <f>'Sales Data'!H489</f>
        <v>24</v>
      </c>
      <c r="G490" s="73"/>
      <c r="H490" s="73">
        <f>(InvoiceDetails[[#This Row],[Qty]]*InvoiceDetails[[#This Row],[Unit price]])-InvoiceDetails[[#This Row],[Discount]]</f>
        <v>13560</v>
      </c>
    </row>
    <row r="491" spans="2:8" ht="34.049999999999997" customHeight="1" x14ac:dyDescent="0.3">
      <c r="B491" s="51" t="str">
        <f>'Sales Data'!C490</f>
        <v>INV-2405-488</v>
      </c>
      <c r="C491" s="31"/>
      <c r="D491" s="16" t="str">
        <f>'Sales Data'!E490</f>
        <v>ED-IND-QN86I-98</v>
      </c>
      <c r="E491" s="52">
        <f>'Sales Data'!G490</f>
        <v>785</v>
      </c>
      <c r="F491" s="72">
        <f>'Sales Data'!H490</f>
        <v>23</v>
      </c>
      <c r="G491" s="73"/>
      <c r="H491" s="73">
        <f>(InvoiceDetails[[#This Row],[Qty]]*InvoiceDetails[[#This Row],[Unit price]])-InvoiceDetails[[#This Row],[Discount]]</f>
        <v>18055</v>
      </c>
    </row>
    <row r="492" spans="2:8" ht="34.049999999999997" customHeight="1" x14ac:dyDescent="0.3">
      <c r="B492" s="51" t="str">
        <f>'Sales Data'!C491</f>
        <v>INV-2405-489</v>
      </c>
      <c r="C492" s="31"/>
      <c r="D492" s="16" t="str">
        <f>'Sales Data'!E491</f>
        <v>ED-IND-VO12B-10</v>
      </c>
      <c r="E492" s="52">
        <f>'Sales Data'!G491</f>
        <v>821</v>
      </c>
      <c r="F492" s="72">
        <f>'Sales Data'!H491</f>
        <v>21</v>
      </c>
      <c r="G492" s="73"/>
      <c r="H492" s="73">
        <f>(InvoiceDetails[[#This Row],[Qty]]*InvoiceDetails[[#This Row],[Unit price]])-InvoiceDetails[[#This Row],[Discount]]</f>
        <v>17241</v>
      </c>
    </row>
    <row r="493" spans="2:8" ht="34.049999999999997" customHeight="1" x14ac:dyDescent="0.3">
      <c r="B493" s="51" t="str">
        <f>'Sales Data'!C492</f>
        <v>INV-2405-490</v>
      </c>
      <c r="C493" s="31"/>
      <c r="D493" s="16" t="str">
        <f>'Sales Data'!E492</f>
        <v>ED-IND-EN88K-60</v>
      </c>
      <c r="E493" s="52">
        <f>'Sales Data'!G492</f>
        <v>701</v>
      </c>
      <c r="F493" s="72">
        <f>'Sales Data'!H492</f>
        <v>28</v>
      </c>
      <c r="G493" s="73"/>
      <c r="H493" s="73">
        <f>(InvoiceDetails[[#This Row],[Qty]]*InvoiceDetails[[#This Row],[Unit price]])-InvoiceDetails[[#This Row],[Discount]]</f>
        <v>19628</v>
      </c>
    </row>
    <row r="494" spans="2:8" ht="34.049999999999997" customHeight="1" x14ac:dyDescent="0.3">
      <c r="B494" s="51" t="str">
        <f>'Sales Data'!C493</f>
        <v>INV-2405-491</v>
      </c>
      <c r="C494" s="31"/>
      <c r="D494" s="16" t="str">
        <f>'Sales Data'!E493</f>
        <v>ED-IND-DC84U-77</v>
      </c>
      <c r="E494" s="52">
        <f>'Sales Data'!G493</f>
        <v>949</v>
      </c>
      <c r="F494" s="72">
        <f>'Sales Data'!H493</f>
        <v>30</v>
      </c>
      <c r="G494" s="73"/>
      <c r="H494" s="73">
        <f>(InvoiceDetails[[#This Row],[Qty]]*InvoiceDetails[[#This Row],[Unit price]])-InvoiceDetails[[#This Row],[Discount]]</f>
        <v>28470</v>
      </c>
    </row>
    <row r="495" spans="2:8" ht="34.049999999999997" customHeight="1" x14ac:dyDescent="0.3">
      <c r="B495" s="51" t="str">
        <f>'Sales Data'!C494</f>
        <v>INV-2405-492</v>
      </c>
      <c r="C495" s="31"/>
      <c r="D495" s="16" t="str">
        <f>'Sales Data'!E494</f>
        <v>ED-IND-HG22A-55</v>
      </c>
      <c r="E495" s="52">
        <f>'Sales Data'!G494</f>
        <v>774</v>
      </c>
      <c r="F495" s="72">
        <f>'Sales Data'!H494</f>
        <v>27</v>
      </c>
      <c r="G495" s="73"/>
      <c r="H495" s="73">
        <f>(InvoiceDetails[[#This Row],[Qty]]*InvoiceDetails[[#This Row],[Unit price]])-InvoiceDetails[[#This Row],[Discount]]</f>
        <v>20898</v>
      </c>
    </row>
    <row r="496" spans="2:8" ht="34.049999999999997" customHeight="1" x14ac:dyDescent="0.3">
      <c r="B496" s="51" t="str">
        <f>'Sales Data'!C495</f>
        <v>INV-2405-493</v>
      </c>
      <c r="C496" s="31"/>
      <c r="D496" s="16" t="str">
        <f>'Sales Data'!E495</f>
        <v>ED-IND-SS44S-99</v>
      </c>
      <c r="E496" s="52">
        <f>'Sales Data'!G495</f>
        <v>606</v>
      </c>
      <c r="F496" s="72">
        <f>'Sales Data'!H495</f>
        <v>21</v>
      </c>
      <c r="G496" s="73"/>
      <c r="H496" s="73">
        <f>(InvoiceDetails[[#This Row],[Qty]]*InvoiceDetails[[#This Row],[Unit price]])-InvoiceDetails[[#This Row],[Discount]]</f>
        <v>12726</v>
      </c>
    </row>
    <row r="497" spans="2:8" ht="34.049999999999997" customHeight="1" x14ac:dyDescent="0.3">
      <c r="B497" s="51" t="str">
        <f>'Sales Data'!C496</f>
        <v>INV-2405-494</v>
      </c>
      <c r="C497" s="31"/>
      <c r="D497" s="16" t="str">
        <f>'Sales Data'!E496</f>
        <v>PC-IND-QH25U-68</v>
      </c>
      <c r="E497" s="52">
        <f>'Sales Data'!G496</f>
        <v>936</v>
      </c>
      <c r="F497" s="72">
        <f>'Sales Data'!H496</f>
        <v>25</v>
      </c>
      <c r="G497" s="73"/>
      <c r="H497" s="73">
        <f>(InvoiceDetails[[#This Row],[Qty]]*InvoiceDetails[[#This Row],[Unit price]])-InvoiceDetails[[#This Row],[Discount]]</f>
        <v>23400</v>
      </c>
    </row>
    <row r="498" spans="2:8" ht="34.049999999999997" customHeight="1" x14ac:dyDescent="0.3">
      <c r="B498" s="51" t="str">
        <f>'Sales Data'!C497</f>
        <v>INV-2405-495</v>
      </c>
      <c r="C498" s="31"/>
      <c r="D498" s="16" t="str">
        <f>'Sales Data'!E497</f>
        <v>ED-IND-BA19J-44</v>
      </c>
      <c r="E498" s="52">
        <f>'Sales Data'!G497</f>
        <v>578</v>
      </c>
      <c r="F498" s="72">
        <f>'Sales Data'!H497</f>
        <v>25</v>
      </c>
      <c r="G498" s="73"/>
      <c r="H498" s="73">
        <f>(InvoiceDetails[[#This Row],[Qty]]*InvoiceDetails[[#This Row],[Unit price]])-InvoiceDetails[[#This Row],[Discount]]</f>
        <v>14450</v>
      </c>
    </row>
    <row r="499" spans="2:8" ht="34.049999999999997" customHeight="1" x14ac:dyDescent="0.3">
      <c r="B499" s="51" t="str">
        <f>'Sales Data'!C498</f>
        <v>INV-2405-496</v>
      </c>
      <c r="C499" s="31"/>
      <c r="D499" s="16" t="str">
        <f>'Sales Data'!E498</f>
        <v>ED-IND-WD76F-86</v>
      </c>
      <c r="E499" s="52">
        <f>'Sales Data'!G498</f>
        <v>716</v>
      </c>
      <c r="F499" s="72">
        <f>'Sales Data'!H498</f>
        <v>22</v>
      </c>
      <c r="G499" s="73"/>
      <c r="H499" s="73">
        <f>(InvoiceDetails[[#This Row],[Qty]]*InvoiceDetails[[#This Row],[Unit price]])-InvoiceDetails[[#This Row],[Discount]]</f>
        <v>15752</v>
      </c>
    </row>
    <row r="500" spans="2:8" ht="34.049999999999997" customHeight="1" x14ac:dyDescent="0.3">
      <c r="B500" s="51" t="str">
        <f>'Sales Data'!C499</f>
        <v>INV-2405-497</v>
      </c>
      <c r="C500" s="31"/>
      <c r="D500" s="16" t="str">
        <f>'Sales Data'!E499</f>
        <v>ED-IND-QQ62B-85</v>
      </c>
      <c r="E500" s="52">
        <f>'Sales Data'!G499</f>
        <v>520</v>
      </c>
      <c r="F500" s="72">
        <f>'Sales Data'!H499</f>
        <v>28</v>
      </c>
      <c r="G500" s="73"/>
      <c r="H500" s="73">
        <f>(InvoiceDetails[[#This Row],[Qty]]*InvoiceDetails[[#This Row],[Unit price]])-InvoiceDetails[[#This Row],[Discount]]</f>
        <v>14560</v>
      </c>
    </row>
    <row r="501" spans="2:8" ht="34.049999999999997" customHeight="1" x14ac:dyDescent="0.3">
      <c r="B501" s="51" t="str">
        <f>'Sales Data'!C500</f>
        <v>INV-2405-498</v>
      </c>
      <c r="C501" s="31"/>
      <c r="D501" s="16" t="str">
        <f>'Sales Data'!E500</f>
        <v>PC-IND-SO42H-70</v>
      </c>
      <c r="E501" s="52">
        <f>'Sales Data'!G500</f>
        <v>773</v>
      </c>
      <c r="F501" s="72">
        <f>'Sales Data'!H500</f>
        <v>29</v>
      </c>
      <c r="G501" s="73"/>
      <c r="H501" s="73">
        <f>(InvoiceDetails[[#This Row],[Qty]]*InvoiceDetails[[#This Row],[Unit price]])-InvoiceDetails[[#This Row],[Discount]]</f>
        <v>22417</v>
      </c>
    </row>
    <row r="502" spans="2:8" ht="34.049999999999997" customHeight="1" x14ac:dyDescent="0.3">
      <c r="B502" s="51" t="str">
        <f>'Sales Data'!C501</f>
        <v>INV-2405-499</v>
      </c>
      <c r="C502" s="31"/>
      <c r="D502" s="16" t="str">
        <f>'Sales Data'!E501</f>
        <v>ED-IND-CD90N-05</v>
      </c>
      <c r="E502" s="52">
        <f>'Sales Data'!G501</f>
        <v>661</v>
      </c>
      <c r="F502" s="72">
        <f>'Sales Data'!H501</f>
        <v>21</v>
      </c>
      <c r="G502" s="73"/>
      <c r="H502" s="73">
        <f>(InvoiceDetails[[#This Row],[Qty]]*InvoiceDetails[[#This Row],[Unit price]])-InvoiceDetails[[#This Row],[Discount]]</f>
        <v>13881</v>
      </c>
    </row>
    <row r="503" spans="2:8" ht="34.049999999999997" customHeight="1" x14ac:dyDescent="0.3">
      <c r="B503" s="51" t="str">
        <f>'Sales Data'!C502</f>
        <v>INV-2405-500</v>
      </c>
      <c r="C503" s="31"/>
      <c r="D503" s="16" t="str">
        <f>'Sales Data'!E502</f>
        <v>ED-IND-NJ31S-75</v>
      </c>
      <c r="E503" s="52">
        <f>'Sales Data'!G502</f>
        <v>953</v>
      </c>
      <c r="F503" s="72">
        <f>'Sales Data'!H502</f>
        <v>28</v>
      </c>
      <c r="G503" s="73"/>
      <c r="H503" s="73">
        <f>(InvoiceDetails[[#This Row],[Qty]]*InvoiceDetails[[#This Row],[Unit price]])-InvoiceDetails[[#This Row],[Discount]]</f>
        <v>26684</v>
      </c>
    </row>
    <row r="504" spans="2:8" ht="34.049999999999997" customHeight="1" x14ac:dyDescent="0.3">
      <c r="B504" s="51" t="str">
        <f>'Sales Data'!C503</f>
        <v>INV-2405-501</v>
      </c>
      <c r="C504" s="31"/>
      <c r="D504" s="16" t="str">
        <f>'Sales Data'!E503</f>
        <v>ED-IND-IM12N-51</v>
      </c>
      <c r="E504" s="52">
        <f>'Sales Data'!G503</f>
        <v>668</v>
      </c>
      <c r="F504" s="72">
        <f>'Sales Data'!H503</f>
        <v>22</v>
      </c>
      <c r="G504" s="73"/>
      <c r="H504" s="73">
        <f>(InvoiceDetails[[#This Row],[Qty]]*InvoiceDetails[[#This Row],[Unit price]])-InvoiceDetails[[#This Row],[Discount]]</f>
        <v>14696</v>
      </c>
    </row>
    <row r="505" spans="2:8" ht="34.049999999999997" customHeight="1" x14ac:dyDescent="0.3">
      <c r="B505" s="51" t="str">
        <f>'Sales Data'!C504</f>
        <v>INV-2405-502</v>
      </c>
      <c r="C505" s="31"/>
      <c r="D505" s="16" t="str">
        <f>'Sales Data'!E504</f>
        <v>ED-IND-GH80Y-46</v>
      </c>
      <c r="E505" s="52">
        <f>'Sales Data'!G504</f>
        <v>584</v>
      </c>
      <c r="F505" s="72">
        <f>'Sales Data'!H504</f>
        <v>22</v>
      </c>
      <c r="G505" s="73"/>
      <c r="H505" s="73">
        <f>(InvoiceDetails[[#This Row],[Qty]]*InvoiceDetails[[#This Row],[Unit price]])-InvoiceDetails[[#This Row],[Discount]]</f>
        <v>12848</v>
      </c>
    </row>
    <row r="506" spans="2:8" ht="34.049999999999997" customHeight="1" x14ac:dyDescent="0.3">
      <c r="B506" s="51" t="str">
        <f>'Sales Data'!C505</f>
        <v>INV-2405-503</v>
      </c>
      <c r="C506" s="31"/>
      <c r="D506" s="16" t="str">
        <f>'Sales Data'!E505</f>
        <v>PC-IND-TH98E-88</v>
      </c>
      <c r="E506" s="52">
        <f>'Sales Data'!G505</f>
        <v>971</v>
      </c>
      <c r="F506" s="72">
        <f>'Sales Data'!H505</f>
        <v>29</v>
      </c>
      <c r="G506" s="73"/>
      <c r="H506" s="73">
        <f>(InvoiceDetails[[#This Row],[Qty]]*InvoiceDetails[[#This Row],[Unit price]])-InvoiceDetails[[#This Row],[Discount]]</f>
        <v>28159</v>
      </c>
    </row>
    <row r="507" spans="2:8" ht="34.049999999999997" customHeight="1" x14ac:dyDescent="0.3">
      <c r="B507" s="51" t="str">
        <f>'Sales Data'!C506</f>
        <v>INV-2405-504</v>
      </c>
      <c r="C507" s="31"/>
      <c r="D507" s="16" t="str">
        <f>'Sales Data'!E506</f>
        <v>ED-IND-EI46Z-81</v>
      </c>
      <c r="E507" s="52">
        <f>'Sales Data'!G506</f>
        <v>855</v>
      </c>
      <c r="F507" s="72">
        <f>'Sales Data'!H506</f>
        <v>23</v>
      </c>
      <c r="G507" s="73"/>
      <c r="H507" s="73">
        <f>(InvoiceDetails[[#This Row],[Qty]]*InvoiceDetails[[#This Row],[Unit price]])-InvoiceDetails[[#This Row],[Discount]]</f>
        <v>19665</v>
      </c>
    </row>
    <row r="508" spans="2:8" ht="34.049999999999997" customHeight="1" x14ac:dyDescent="0.3">
      <c r="B508" s="51" t="str">
        <f>'Sales Data'!C507</f>
        <v>INV-2405-505</v>
      </c>
      <c r="C508" s="31"/>
      <c r="D508" s="16" t="str">
        <f>'Sales Data'!E507</f>
        <v>PC-IND-QS83Q-84</v>
      </c>
      <c r="E508" s="52">
        <f>'Sales Data'!G507</f>
        <v>533</v>
      </c>
      <c r="F508" s="72">
        <f>'Sales Data'!H507</f>
        <v>27</v>
      </c>
      <c r="G508" s="73"/>
      <c r="H508" s="73">
        <f>(InvoiceDetails[[#This Row],[Qty]]*InvoiceDetails[[#This Row],[Unit price]])-InvoiceDetails[[#This Row],[Discount]]</f>
        <v>14391</v>
      </c>
    </row>
    <row r="509" spans="2:8" ht="34.049999999999997" customHeight="1" x14ac:dyDescent="0.3">
      <c r="B509" s="51" t="str">
        <f>'Sales Data'!C508</f>
        <v>INV-2405-506</v>
      </c>
      <c r="C509" s="31"/>
      <c r="D509" s="16" t="str">
        <f>'Sales Data'!E508</f>
        <v>PC-IND-VP30W-73</v>
      </c>
      <c r="E509" s="52">
        <f>'Sales Data'!G508</f>
        <v>989</v>
      </c>
      <c r="F509" s="72">
        <f>'Sales Data'!H508</f>
        <v>25</v>
      </c>
      <c r="G509" s="73"/>
      <c r="H509" s="73">
        <f>(InvoiceDetails[[#This Row],[Qty]]*InvoiceDetails[[#This Row],[Unit price]])-InvoiceDetails[[#This Row],[Discount]]</f>
        <v>24725</v>
      </c>
    </row>
    <row r="510" spans="2:8" ht="34.049999999999997" customHeight="1" x14ac:dyDescent="0.3">
      <c r="B510" s="51" t="str">
        <f>'Sales Data'!C509</f>
        <v>INV-2405-507</v>
      </c>
      <c r="C510" s="31"/>
      <c r="D510" s="16" t="str">
        <f>'Sales Data'!E509</f>
        <v>ED-IND-RD86G-53</v>
      </c>
      <c r="E510" s="52">
        <f>'Sales Data'!G509</f>
        <v>696</v>
      </c>
      <c r="F510" s="72">
        <f>'Sales Data'!H509</f>
        <v>25</v>
      </c>
      <c r="G510" s="73"/>
      <c r="H510" s="73">
        <f>(InvoiceDetails[[#This Row],[Qty]]*InvoiceDetails[[#This Row],[Unit price]])-InvoiceDetails[[#This Row],[Discount]]</f>
        <v>17400</v>
      </c>
    </row>
    <row r="511" spans="2:8" ht="34.049999999999997" customHeight="1" x14ac:dyDescent="0.3">
      <c r="B511" s="51" t="str">
        <f>'Sales Data'!C510</f>
        <v>INV-2405-508</v>
      </c>
      <c r="C511" s="31"/>
      <c r="D511" s="16" t="str">
        <f>'Sales Data'!E510</f>
        <v>ED-IND-IZ21P-56</v>
      </c>
      <c r="E511" s="52">
        <f>'Sales Data'!G510</f>
        <v>915</v>
      </c>
      <c r="F511" s="72">
        <f>'Sales Data'!H510</f>
        <v>31</v>
      </c>
      <c r="G511" s="73"/>
      <c r="H511" s="73">
        <f>(InvoiceDetails[[#This Row],[Qty]]*InvoiceDetails[[#This Row],[Unit price]])-InvoiceDetails[[#This Row],[Discount]]</f>
        <v>28365</v>
      </c>
    </row>
    <row r="512" spans="2:8" ht="34.049999999999997" customHeight="1" x14ac:dyDescent="0.3">
      <c r="B512" s="51" t="str">
        <f>'Sales Data'!C511</f>
        <v>INV-2405-509</v>
      </c>
      <c r="C512" s="31"/>
      <c r="D512" s="16" t="str">
        <f>'Sales Data'!E511</f>
        <v>ED-IND-RK46R-82</v>
      </c>
      <c r="E512" s="52">
        <f>'Sales Data'!G511</f>
        <v>870</v>
      </c>
      <c r="F512" s="72">
        <f>'Sales Data'!H511</f>
        <v>28</v>
      </c>
      <c r="G512" s="73"/>
      <c r="H512" s="73">
        <f>(InvoiceDetails[[#This Row],[Qty]]*InvoiceDetails[[#This Row],[Unit price]])-InvoiceDetails[[#This Row],[Discount]]</f>
        <v>24360</v>
      </c>
    </row>
    <row r="513" spans="2:8" ht="34.049999999999997" customHeight="1" x14ac:dyDescent="0.3">
      <c r="B513" s="51" t="str">
        <f>'Sales Data'!C512</f>
        <v>INV-2405-510</v>
      </c>
      <c r="C513" s="31"/>
      <c r="D513" s="16" t="str">
        <f>'Sales Data'!E512</f>
        <v>ED-IND-GA75S-06</v>
      </c>
      <c r="E513" s="52">
        <f>'Sales Data'!G512</f>
        <v>862</v>
      </c>
      <c r="F513" s="72">
        <f>'Sales Data'!H512</f>
        <v>31</v>
      </c>
      <c r="G513" s="73"/>
      <c r="H513" s="73">
        <f>(InvoiceDetails[[#This Row],[Qty]]*InvoiceDetails[[#This Row],[Unit price]])-InvoiceDetails[[#This Row],[Discount]]</f>
        <v>26722</v>
      </c>
    </row>
    <row r="514" spans="2:8" ht="34.049999999999997" customHeight="1" x14ac:dyDescent="0.3">
      <c r="B514" s="51" t="str">
        <f>'Sales Data'!C513</f>
        <v>INV-2405-511</v>
      </c>
      <c r="C514" s="31"/>
      <c r="D514" s="16" t="str">
        <f>'Sales Data'!E513</f>
        <v>ED-IND-XK40G-09</v>
      </c>
      <c r="E514" s="52">
        <f>'Sales Data'!G513</f>
        <v>892</v>
      </c>
      <c r="F514" s="72">
        <f>'Sales Data'!H513</f>
        <v>31</v>
      </c>
      <c r="G514" s="73"/>
      <c r="H514" s="73">
        <f>(InvoiceDetails[[#This Row],[Qty]]*InvoiceDetails[[#This Row],[Unit price]])-InvoiceDetails[[#This Row],[Discount]]</f>
        <v>27652</v>
      </c>
    </row>
    <row r="515" spans="2:8" ht="34.049999999999997" customHeight="1" x14ac:dyDescent="0.3">
      <c r="B515" s="51" t="str">
        <f>'Sales Data'!C514</f>
        <v>INV-2405-512</v>
      </c>
      <c r="C515" s="31"/>
      <c r="D515" s="16" t="str">
        <f>'Sales Data'!E514</f>
        <v>ED-IND-MO79E-95</v>
      </c>
      <c r="E515" s="52">
        <f>'Sales Data'!G514</f>
        <v>766</v>
      </c>
      <c r="F515" s="72">
        <f>'Sales Data'!H514</f>
        <v>24</v>
      </c>
      <c r="G515" s="73"/>
      <c r="H515" s="73">
        <f>(InvoiceDetails[[#This Row],[Qty]]*InvoiceDetails[[#This Row],[Unit price]])-InvoiceDetails[[#This Row],[Discount]]</f>
        <v>18384</v>
      </c>
    </row>
    <row r="516" spans="2:8" ht="34.049999999999997" customHeight="1" x14ac:dyDescent="0.3">
      <c r="B516" s="51" t="str">
        <f>'Sales Data'!C515</f>
        <v>INV-2405-513</v>
      </c>
      <c r="C516" s="31"/>
      <c r="D516" s="16" t="str">
        <f>'Sales Data'!E515</f>
        <v>ED-IND-CP47H-30</v>
      </c>
      <c r="E516" s="52">
        <f>'Sales Data'!G515</f>
        <v>996</v>
      </c>
      <c r="F516" s="72">
        <f>'Sales Data'!H515</f>
        <v>24</v>
      </c>
      <c r="G516" s="73"/>
      <c r="H516" s="73">
        <f>(InvoiceDetails[[#This Row],[Qty]]*InvoiceDetails[[#This Row],[Unit price]])-InvoiceDetails[[#This Row],[Discount]]</f>
        <v>23904</v>
      </c>
    </row>
    <row r="517" spans="2:8" ht="34.049999999999997" customHeight="1" x14ac:dyDescent="0.3">
      <c r="B517" s="51" t="str">
        <f>'Sales Data'!C516</f>
        <v>INV-2405-514</v>
      </c>
      <c r="C517" s="31"/>
      <c r="D517" s="16" t="str">
        <f>'Sales Data'!E516</f>
        <v>ED-IND-XC16C-47</v>
      </c>
      <c r="E517" s="52">
        <f>'Sales Data'!G516</f>
        <v>955</v>
      </c>
      <c r="F517" s="72">
        <f>'Sales Data'!H516</f>
        <v>23</v>
      </c>
      <c r="G517" s="73"/>
      <c r="H517" s="73">
        <f>(InvoiceDetails[[#This Row],[Qty]]*InvoiceDetails[[#This Row],[Unit price]])-InvoiceDetails[[#This Row],[Discount]]</f>
        <v>21965</v>
      </c>
    </row>
    <row r="518" spans="2:8" ht="34.049999999999997" customHeight="1" x14ac:dyDescent="0.3">
      <c r="B518" s="51" t="str">
        <f>'Sales Data'!C517</f>
        <v>INV-2406-515</v>
      </c>
      <c r="C518" s="31"/>
      <c r="D518" s="16" t="str">
        <f>'Sales Data'!E517</f>
        <v>ED-IND-LI34P-06</v>
      </c>
      <c r="E518" s="52">
        <f>'Sales Data'!G517</f>
        <v>858</v>
      </c>
      <c r="F518" s="72">
        <f>'Sales Data'!H517</f>
        <v>23</v>
      </c>
      <c r="G518" s="73"/>
      <c r="H518" s="73">
        <f>(InvoiceDetails[[#This Row],[Qty]]*InvoiceDetails[[#This Row],[Unit price]])-InvoiceDetails[[#This Row],[Discount]]</f>
        <v>19734</v>
      </c>
    </row>
    <row r="519" spans="2:8" ht="34.049999999999997" customHeight="1" x14ac:dyDescent="0.3">
      <c r="B519" s="51" t="str">
        <f>'Sales Data'!C518</f>
        <v>INV-2406-516</v>
      </c>
      <c r="C519" s="31"/>
      <c r="D519" s="16" t="str">
        <f>'Sales Data'!E518</f>
        <v>PC-IND-KZ89R-27</v>
      </c>
      <c r="E519" s="52">
        <f>'Sales Data'!G518</f>
        <v>770</v>
      </c>
      <c r="F519" s="72">
        <f>'Sales Data'!H518</f>
        <v>30</v>
      </c>
      <c r="G519" s="73"/>
      <c r="H519" s="73">
        <f>(InvoiceDetails[[#This Row],[Qty]]*InvoiceDetails[[#This Row],[Unit price]])-InvoiceDetails[[#This Row],[Discount]]</f>
        <v>23100</v>
      </c>
    </row>
    <row r="520" spans="2:8" ht="34.049999999999997" customHeight="1" x14ac:dyDescent="0.3">
      <c r="B520" s="51" t="str">
        <f>'Sales Data'!C519</f>
        <v>INV-2406-517</v>
      </c>
      <c r="C520" s="31"/>
      <c r="D520" s="16" t="str">
        <f>'Sales Data'!E519</f>
        <v>ED-IND-RJ40F-11</v>
      </c>
      <c r="E520" s="52">
        <f>'Sales Data'!G519</f>
        <v>768</v>
      </c>
      <c r="F520" s="72">
        <f>'Sales Data'!H519</f>
        <v>26</v>
      </c>
      <c r="G520" s="73"/>
      <c r="H520" s="73">
        <f>(InvoiceDetails[[#This Row],[Qty]]*InvoiceDetails[[#This Row],[Unit price]])-InvoiceDetails[[#This Row],[Discount]]</f>
        <v>19968</v>
      </c>
    </row>
    <row r="521" spans="2:8" ht="34.049999999999997" customHeight="1" x14ac:dyDescent="0.3">
      <c r="B521" s="51" t="str">
        <f>'Sales Data'!C520</f>
        <v>INV-2406-518</v>
      </c>
      <c r="C521" s="31"/>
      <c r="D521" s="16" t="str">
        <f>'Sales Data'!E520</f>
        <v>PC-IND-CS63W-59</v>
      </c>
      <c r="E521" s="52">
        <f>'Sales Data'!G520</f>
        <v>869</v>
      </c>
      <c r="F521" s="72">
        <f>'Sales Data'!H520</f>
        <v>27</v>
      </c>
      <c r="G521" s="73"/>
      <c r="H521" s="73">
        <f>(InvoiceDetails[[#This Row],[Qty]]*InvoiceDetails[[#This Row],[Unit price]])-InvoiceDetails[[#This Row],[Discount]]</f>
        <v>23463</v>
      </c>
    </row>
    <row r="522" spans="2:8" ht="34.049999999999997" customHeight="1" x14ac:dyDescent="0.3">
      <c r="B522" s="51" t="str">
        <f>'Sales Data'!C521</f>
        <v>INV-2406-519</v>
      </c>
      <c r="C522" s="31"/>
      <c r="D522" s="16" t="str">
        <f>'Sales Data'!E521</f>
        <v>ED-IND-VI98V-08</v>
      </c>
      <c r="E522" s="52">
        <f>'Sales Data'!G521</f>
        <v>809</v>
      </c>
      <c r="F522" s="72">
        <f>'Sales Data'!H521</f>
        <v>31</v>
      </c>
      <c r="G522" s="73"/>
      <c r="H522" s="73">
        <f>(InvoiceDetails[[#This Row],[Qty]]*InvoiceDetails[[#This Row],[Unit price]])-InvoiceDetails[[#This Row],[Discount]]</f>
        <v>25079</v>
      </c>
    </row>
    <row r="523" spans="2:8" ht="34.049999999999997" customHeight="1" x14ac:dyDescent="0.3">
      <c r="B523" s="51" t="str">
        <f>'Sales Data'!C522</f>
        <v>INV-2406-520</v>
      </c>
      <c r="C523" s="31"/>
      <c r="D523" s="16" t="str">
        <f>'Sales Data'!E522</f>
        <v>ED-IND-AN73A-26</v>
      </c>
      <c r="E523" s="52">
        <f>'Sales Data'!G522</f>
        <v>540</v>
      </c>
      <c r="F523" s="72">
        <f>'Sales Data'!H522</f>
        <v>29</v>
      </c>
      <c r="G523" s="73"/>
      <c r="H523" s="73">
        <f>(InvoiceDetails[[#This Row],[Qty]]*InvoiceDetails[[#This Row],[Unit price]])-InvoiceDetails[[#This Row],[Discount]]</f>
        <v>15660</v>
      </c>
    </row>
    <row r="524" spans="2:8" ht="34.049999999999997" customHeight="1" x14ac:dyDescent="0.3">
      <c r="B524" s="51" t="str">
        <f>'Sales Data'!C523</f>
        <v>INV-2406-521</v>
      </c>
      <c r="C524" s="31"/>
      <c r="D524" s="16" t="str">
        <f>'Sales Data'!E523</f>
        <v>ED-IND-DR24N-77</v>
      </c>
      <c r="E524" s="52">
        <f>'Sales Data'!G523</f>
        <v>755</v>
      </c>
      <c r="F524" s="72">
        <f>'Sales Data'!H523</f>
        <v>26</v>
      </c>
      <c r="G524" s="73"/>
      <c r="H524" s="73">
        <f>(InvoiceDetails[[#This Row],[Qty]]*InvoiceDetails[[#This Row],[Unit price]])-InvoiceDetails[[#This Row],[Discount]]</f>
        <v>19630</v>
      </c>
    </row>
    <row r="525" spans="2:8" ht="34.049999999999997" customHeight="1" x14ac:dyDescent="0.3">
      <c r="B525" s="51" t="str">
        <f>'Sales Data'!C524</f>
        <v>INV-2406-522</v>
      </c>
      <c r="C525" s="31"/>
      <c r="D525" s="16" t="str">
        <f>'Sales Data'!E524</f>
        <v>ED-IND-DX90D-70</v>
      </c>
      <c r="E525" s="52">
        <f>'Sales Data'!G524</f>
        <v>994</v>
      </c>
      <c r="F525" s="72">
        <f>'Sales Data'!H524</f>
        <v>29</v>
      </c>
      <c r="G525" s="73"/>
      <c r="H525" s="73">
        <f>(InvoiceDetails[[#This Row],[Qty]]*InvoiceDetails[[#This Row],[Unit price]])-InvoiceDetails[[#This Row],[Discount]]</f>
        <v>28826</v>
      </c>
    </row>
    <row r="526" spans="2:8" ht="34.049999999999997" customHeight="1" x14ac:dyDescent="0.3">
      <c r="B526" s="51" t="str">
        <f>'Sales Data'!C525</f>
        <v>INV-2406-523</v>
      </c>
      <c r="C526" s="31"/>
      <c r="D526" s="16" t="str">
        <f>'Sales Data'!E525</f>
        <v>ED-IND-YI64J-44</v>
      </c>
      <c r="E526" s="52">
        <f>'Sales Data'!G525</f>
        <v>903</v>
      </c>
      <c r="F526" s="72">
        <f>'Sales Data'!H525</f>
        <v>25</v>
      </c>
      <c r="G526" s="73"/>
      <c r="H526" s="73">
        <f>(InvoiceDetails[[#This Row],[Qty]]*InvoiceDetails[[#This Row],[Unit price]])-InvoiceDetails[[#This Row],[Discount]]</f>
        <v>22575</v>
      </c>
    </row>
    <row r="527" spans="2:8" ht="34.049999999999997" customHeight="1" x14ac:dyDescent="0.3">
      <c r="B527" s="51" t="str">
        <f>'Sales Data'!C526</f>
        <v>INV-2406-524</v>
      </c>
      <c r="C527" s="31"/>
      <c r="D527" s="16" t="str">
        <f>'Sales Data'!E526</f>
        <v>ED-IND-CH67J-48</v>
      </c>
      <c r="E527" s="52">
        <f>'Sales Data'!G526</f>
        <v>711</v>
      </c>
      <c r="F527" s="72">
        <f>'Sales Data'!H526</f>
        <v>26</v>
      </c>
      <c r="G527" s="73"/>
      <c r="H527" s="73">
        <f>(InvoiceDetails[[#This Row],[Qty]]*InvoiceDetails[[#This Row],[Unit price]])-InvoiceDetails[[#This Row],[Discount]]</f>
        <v>18486</v>
      </c>
    </row>
    <row r="528" spans="2:8" ht="34.049999999999997" customHeight="1" x14ac:dyDescent="0.3">
      <c r="B528" s="51" t="str">
        <f>'Sales Data'!C527</f>
        <v>INV-2406-525</v>
      </c>
      <c r="C528" s="31"/>
      <c r="D528" s="16" t="str">
        <f>'Sales Data'!E527</f>
        <v>ED-IND-UI20Y-67</v>
      </c>
      <c r="E528" s="52">
        <f>'Sales Data'!G527</f>
        <v>727</v>
      </c>
      <c r="F528" s="72">
        <f>'Sales Data'!H527</f>
        <v>22</v>
      </c>
      <c r="G528" s="73"/>
      <c r="H528" s="73">
        <f>(InvoiceDetails[[#This Row],[Qty]]*InvoiceDetails[[#This Row],[Unit price]])-InvoiceDetails[[#This Row],[Discount]]</f>
        <v>15994</v>
      </c>
    </row>
    <row r="529" spans="2:8" ht="34.049999999999997" customHeight="1" x14ac:dyDescent="0.3">
      <c r="B529" s="51" t="str">
        <f>'Sales Data'!C528</f>
        <v>INV-2406-526</v>
      </c>
      <c r="C529" s="31"/>
      <c r="D529" s="16" t="str">
        <f>'Sales Data'!E528</f>
        <v>ED-IND-VE63X-76</v>
      </c>
      <c r="E529" s="52">
        <f>'Sales Data'!G528</f>
        <v>814</v>
      </c>
      <c r="F529" s="72">
        <f>'Sales Data'!H528</f>
        <v>31</v>
      </c>
      <c r="G529" s="73"/>
      <c r="H529" s="73">
        <f>(InvoiceDetails[[#This Row],[Qty]]*InvoiceDetails[[#This Row],[Unit price]])-InvoiceDetails[[#This Row],[Discount]]</f>
        <v>25234</v>
      </c>
    </row>
    <row r="530" spans="2:8" ht="34.049999999999997" customHeight="1" x14ac:dyDescent="0.3">
      <c r="B530" s="51" t="str">
        <f>'Sales Data'!C529</f>
        <v>INV-2406-527</v>
      </c>
      <c r="C530" s="31"/>
      <c r="D530" s="16" t="str">
        <f>'Sales Data'!E529</f>
        <v>ED-IND-GO89N-82</v>
      </c>
      <c r="E530" s="52">
        <f>'Sales Data'!G529</f>
        <v>986</v>
      </c>
      <c r="F530" s="72">
        <f>'Sales Data'!H529</f>
        <v>25</v>
      </c>
      <c r="G530" s="73"/>
      <c r="H530" s="73">
        <f>(InvoiceDetails[[#This Row],[Qty]]*InvoiceDetails[[#This Row],[Unit price]])-InvoiceDetails[[#This Row],[Discount]]</f>
        <v>24650</v>
      </c>
    </row>
    <row r="531" spans="2:8" ht="34.049999999999997" customHeight="1" x14ac:dyDescent="0.3">
      <c r="B531" s="51" t="str">
        <f>'Sales Data'!C530</f>
        <v>INV-2406-528</v>
      </c>
      <c r="C531" s="31"/>
      <c r="D531" s="16" t="str">
        <f>'Sales Data'!E530</f>
        <v>ED-IND-FG19V-50</v>
      </c>
      <c r="E531" s="52">
        <f>'Sales Data'!G530</f>
        <v>890</v>
      </c>
      <c r="F531" s="72">
        <f>'Sales Data'!H530</f>
        <v>29</v>
      </c>
      <c r="G531" s="73"/>
      <c r="H531" s="73">
        <f>(InvoiceDetails[[#This Row],[Qty]]*InvoiceDetails[[#This Row],[Unit price]])-InvoiceDetails[[#This Row],[Discount]]</f>
        <v>25810</v>
      </c>
    </row>
    <row r="532" spans="2:8" ht="34.049999999999997" customHeight="1" x14ac:dyDescent="0.3">
      <c r="B532" s="51" t="str">
        <f>'Sales Data'!C531</f>
        <v>INV-2406-529</v>
      </c>
      <c r="C532" s="31"/>
      <c r="D532" s="16" t="str">
        <f>'Sales Data'!E531</f>
        <v>ED-IND-JX90K-83</v>
      </c>
      <c r="E532" s="52">
        <f>'Sales Data'!G531</f>
        <v>824</v>
      </c>
      <c r="F532" s="72">
        <f>'Sales Data'!H531</f>
        <v>29</v>
      </c>
      <c r="G532" s="73"/>
      <c r="H532" s="73">
        <f>(InvoiceDetails[[#This Row],[Qty]]*InvoiceDetails[[#This Row],[Unit price]])-InvoiceDetails[[#This Row],[Discount]]</f>
        <v>23896</v>
      </c>
    </row>
    <row r="533" spans="2:8" ht="34.049999999999997" customHeight="1" x14ac:dyDescent="0.3">
      <c r="B533" s="51" t="str">
        <f>'Sales Data'!C532</f>
        <v>INV-2406-530</v>
      </c>
      <c r="C533" s="31"/>
      <c r="D533" s="16" t="str">
        <f>'Sales Data'!E532</f>
        <v>PC-IND-KM35F-18</v>
      </c>
      <c r="E533" s="52">
        <f>'Sales Data'!G532</f>
        <v>582</v>
      </c>
      <c r="F533" s="72">
        <f>'Sales Data'!H532</f>
        <v>29</v>
      </c>
      <c r="G533" s="73"/>
      <c r="H533" s="73">
        <f>(InvoiceDetails[[#This Row],[Qty]]*InvoiceDetails[[#This Row],[Unit price]])-InvoiceDetails[[#This Row],[Discount]]</f>
        <v>16878</v>
      </c>
    </row>
    <row r="534" spans="2:8" ht="34.049999999999997" customHeight="1" x14ac:dyDescent="0.3">
      <c r="B534" s="51" t="str">
        <f>'Sales Data'!C533</f>
        <v>INV-2406-531</v>
      </c>
      <c r="C534" s="31"/>
      <c r="D534" s="16" t="str">
        <f>'Sales Data'!E533</f>
        <v>PC-IND-BS67Y-16</v>
      </c>
      <c r="E534" s="52">
        <f>'Sales Data'!G533</f>
        <v>754</v>
      </c>
      <c r="F534" s="72">
        <f>'Sales Data'!H533</f>
        <v>22</v>
      </c>
      <c r="G534" s="73"/>
      <c r="H534" s="73">
        <f>(InvoiceDetails[[#This Row],[Qty]]*InvoiceDetails[[#This Row],[Unit price]])-InvoiceDetails[[#This Row],[Discount]]</f>
        <v>16588</v>
      </c>
    </row>
    <row r="535" spans="2:8" ht="34.049999999999997" customHeight="1" x14ac:dyDescent="0.3">
      <c r="B535" s="51" t="str">
        <f>'Sales Data'!C534</f>
        <v>INV-2406-532</v>
      </c>
      <c r="C535" s="31"/>
      <c r="D535" s="16" t="str">
        <f>'Sales Data'!E534</f>
        <v>ED-IND-UK50Y-68</v>
      </c>
      <c r="E535" s="52">
        <f>'Sales Data'!G534</f>
        <v>553</v>
      </c>
      <c r="F535" s="72">
        <f>'Sales Data'!H534</f>
        <v>24</v>
      </c>
      <c r="G535" s="73"/>
      <c r="H535" s="73">
        <f>(InvoiceDetails[[#This Row],[Qty]]*InvoiceDetails[[#This Row],[Unit price]])-InvoiceDetails[[#This Row],[Discount]]</f>
        <v>13272</v>
      </c>
    </row>
    <row r="536" spans="2:8" ht="34.049999999999997" customHeight="1" x14ac:dyDescent="0.3">
      <c r="B536" s="51" t="str">
        <f>'Sales Data'!C535</f>
        <v>INV-2406-533</v>
      </c>
      <c r="C536" s="31"/>
      <c r="D536" s="16" t="str">
        <f>'Sales Data'!E535</f>
        <v>ED-IND-PO91J-47</v>
      </c>
      <c r="E536" s="52">
        <f>'Sales Data'!G535</f>
        <v>758</v>
      </c>
      <c r="F536" s="72">
        <f>'Sales Data'!H535</f>
        <v>25</v>
      </c>
      <c r="G536" s="73"/>
      <c r="H536" s="73">
        <f>(InvoiceDetails[[#This Row],[Qty]]*InvoiceDetails[[#This Row],[Unit price]])-InvoiceDetails[[#This Row],[Discount]]</f>
        <v>18950</v>
      </c>
    </row>
    <row r="537" spans="2:8" ht="34.049999999999997" customHeight="1" x14ac:dyDescent="0.3">
      <c r="B537" s="51" t="str">
        <f>'Sales Data'!C536</f>
        <v>INV-2406-534</v>
      </c>
      <c r="C537" s="31"/>
      <c r="D537" s="16" t="str">
        <f>'Sales Data'!E536</f>
        <v>PC-IND-VY78W-36</v>
      </c>
      <c r="E537" s="52">
        <f>'Sales Data'!G536</f>
        <v>578</v>
      </c>
      <c r="F537" s="72">
        <f>'Sales Data'!H536</f>
        <v>23</v>
      </c>
      <c r="G537" s="73"/>
      <c r="H537" s="73">
        <f>(InvoiceDetails[[#This Row],[Qty]]*InvoiceDetails[[#This Row],[Unit price]])-InvoiceDetails[[#This Row],[Discount]]</f>
        <v>13294</v>
      </c>
    </row>
    <row r="538" spans="2:8" ht="34.049999999999997" customHeight="1" x14ac:dyDescent="0.3">
      <c r="B538" s="51" t="str">
        <f>'Sales Data'!C537</f>
        <v>INV-2406-535</v>
      </c>
      <c r="C538" s="31"/>
      <c r="D538" s="16" t="str">
        <f>'Sales Data'!E537</f>
        <v>ED-IND-DJ46H-39</v>
      </c>
      <c r="E538" s="52">
        <f>'Sales Data'!G537</f>
        <v>737</v>
      </c>
      <c r="F538" s="72">
        <f>'Sales Data'!H537</f>
        <v>24</v>
      </c>
      <c r="G538" s="73"/>
      <c r="H538" s="73">
        <f>(InvoiceDetails[[#This Row],[Qty]]*InvoiceDetails[[#This Row],[Unit price]])-InvoiceDetails[[#This Row],[Discount]]</f>
        <v>17688</v>
      </c>
    </row>
    <row r="539" spans="2:8" ht="34.049999999999997" customHeight="1" x14ac:dyDescent="0.3">
      <c r="B539" s="51" t="str">
        <f>'Sales Data'!C538</f>
        <v>INV-2406-536</v>
      </c>
      <c r="C539" s="31"/>
      <c r="D539" s="16" t="str">
        <f>'Sales Data'!E538</f>
        <v>PC-IND-VC42L-55</v>
      </c>
      <c r="E539" s="52">
        <f>'Sales Data'!G538</f>
        <v>775</v>
      </c>
      <c r="F539" s="72">
        <f>'Sales Data'!H538</f>
        <v>26</v>
      </c>
      <c r="G539" s="73"/>
      <c r="H539" s="73">
        <f>(InvoiceDetails[[#This Row],[Qty]]*InvoiceDetails[[#This Row],[Unit price]])-InvoiceDetails[[#This Row],[Discount]]</f>
        <v>20150</v>
      </c>
    </row>
    <row r="540" spans="2:8" ht="34.049999999999997" customHeight="1" x14ac:dyDescent="0.3">
      <c r="B540" s="51" t="str">
        <f>'Sales Data'!C539</f>
        <v>INV-2406-537</v>
      </c>
      <c r="C540" s="31"/>
      <c r="D540" s="16" t="str">
        <f>'Sales Data'!E539</f>
        <v>ED-IND-PW48R-65</v>
      </c>
      <c r="E540" s="52">
        <f>'Sales Data'!G539</f>
        <v>575</v>
      </c>
      <c r="F540" s="72">
        <f>'Sales Data'!H539</f>
        <v>25</v>
      </c>
      <c r="G540" s="73"/>
      <c r="H540" s="73">
        <f>(InvoiceDetails[[#This Row],[Qty]]*InvoiceDetails[[#This Row],[Unit price]])-InvoiceDetails[[#This Row],[Discount]]</f>
        <v>14375</v>
      </c>
    </row>
    <row r="541" spans="2:8" ht="34.049999999999997" customHeight="1" x14ac:dyDescent="0.3">
      <c r="B541" s="51" t="str">
        <f>'Sales Data'!C540</f>
        <v>INV-2406-538</v>
      </c>
      <c r="C541" s="31"/>
      <c r="D541" s="16" t="str">
        <f>'Sales Data'!E540</f>
        <v>ED-IND-VK60I-85</v>
      </c>
      <c r="E541" s="52">
        <f>'Sales Data'!G540</f>
        <v>545</v>
      </c>
      <c r="F541" s="72">
        <f>'Sales Data'!H540</f>
        <v>29</v>
      </c>
      <c r="G541" s="73"/>
      <c r="H541" s="73">
        <f>(InvoiceDetails[[#This Row],[Qty]]*InvoiceDetails[[#This Row],[Unit price]])-InvoiceDetails[[#This Row],[Discount]]</f>
        <v>15805</v>
      </c>
    </row>
    <row r="542" spans="2:8" ht="34.049999999999997" customHeight="1" x14ac:dyDescent="0.3">
      <c r="B542" s="51" t="str">
        <f>'Sales Data'!C541</f>
        <v>INV-2406-539</v>
      </c>
      <c r="C542" s="31"/>
      <c r="D542" s="16" t="str">
        <f>'Sales Data'!E541</f>
        <v>ED-IND-GL58S-10</v>
      </c>
      <c r="E542" s="52">
        <f>'Sales Data'!G541</f>
        <v>831</v>
      </c>
      <c r="F542" s="72">
        <f>'Sales Data'!H541</f>
        <v>24</v>
      </c>
      <c r="G542" s="73"/>
      <c r="H542" s="73">
        <f>(InvoiceDetails[[#This Row],[Qty]]*InvoiceDetails[[#This Row],[Unit price]])-InvoiceDetails[[#This Row],[Discount]]</f>
        <v>19944</v>
      </c>
    </row>
    <row r="543" spans="2:8" ht="34.049999999999997" customHeight="1" x14ac:dyDescent="0.3">
      <c r="B543" s="51" t="str">
        <f>'Sales Data'!C542</f>
        <v>INV-2406-540</v>
      </c>
      <c r="C543" s="31"/>
      <c r="D543" s="16" t="str">
        <f>'Sales Data'!E542</f>
        <v>PC-IND-SV55R-71</v>
      </c>
      <c r="E543" s="52">
        <f>'Sales Data'!G542</f>
        <v>845</v>
      </c>
      <c r="F543" s="72">
        <f>'Sales Data'!H542</f>
        <v>22</v>
      </c>
      <c r="G543" s="73"/>
      <c r="H543" s="73">
        <f>(InvoiceDetails[[#This Row],[Qty]]*InvoiceDetails[[#This Row],[Unit price]])-InvoiceDetails[[#This Row],[Discount]]</f>
        <v>18590</v>
      </c>
    </row>
    <row r="544" spans="2:8" ht="34.049999999999997" customHeight="1" x14ac:dyDescent="0.3">
      <c r="B544" s="51" t="str">
        <f>'Sales Data'!C543</f>
        <v>INV-2406-541</v>
      </c>
      <c r="C544" s="31"/>
      <c r="D544" s="16" t="str">
        <f>'Sales Data'!E543</f>
        <v>ED-IND-PO91J-23</v>
      </c>
      <c r="E544" s="52">
        <f>'Sales Data'!G543</f>
        <v>978</v>
      </c>
      <c r="F544" s="72">
        <f>'Sales Data'!H543</f>
        <v>28</v>
      </c>
      <c r="G544" s="73"/>
      <c r="H544" s="73">
        <f>(InvoiceDetails[[#This Row],[Qty]]*InvoiceDetails[[#This Row],[Unit price]])-InvoiceDetails[[#This Row],[Discount]]</f>
        <v>27384</v>
      </c>
    </row>
    <row r="545" spans="2:8" ht="34.049999999999997" customHeight="1" x14ac:dyDescent="0.3">
      <c r="B545" s="51" t="str">
        <f>'Sales Data'!C544</f>
        <v>INV-2406-542</v>
      </c>
      <c r="C545" s="31"/>
      <c r="D545" s="16" t="str">
        <f>'Sales Data'!E544</f>
        <v>ED-IND-VZ90N-04</v>
      </c>
      <c r="E545" s="52">
        <f>'Sales Data'!G544</f>
        <v>841</v>
      </c>
      <c r="F545" s="72">
        <f>'Sales Data'!H544</f>
        <v>22</v>
      </c>
      <c r="G545" s="73"/>
      <c r="H545" s="73">
        <f>(InvoiceDetails[[#This Row],[Qty]]*InvoiceDetails[[#This Row],[Unit price]])-InvoiceDetails[[#This Row],[Discount]]</f>
        <v>18502</v>
      </c>
    </row>
    <row r="546" spans="2:8" ht="34.049999999999997" customHeight="1" x14ac:dyDescent="0.3">
      <c r="B546" s="51" t="str">
        <f>'Sales Data'!C545</f>
        <v>INV-2406-543</v>
      </c>
      <c r="C546" s="31"/>
      <c r="D546" s="16" t="str">
        <f>'Sales Data'!E545</f>
        <v>ED-IND-UY21U-21</v>
      </c>
      <c r="E546" s="52">
        <f>'Sales Data'!G545</f>
        <v>573</v>
      </c>
      <c r="F546" s="72">
        <f>'Sales Data'!H545</f>
        <v>29</v>
      </c>
      <c r="G546" s="73"/>
      <c r="H546" s="73">
        <f>(InvoiceDetails[[#This Row],[Qty]]*InvoiceDetails[[#This Row],[Unit price]])-InvoiceDetails[[#This Row],[Discount]]</f>
        <v>16617</v>
      </c>
    </row>
    <row r="547" spans="2:8" ht="34.049999999999997" customHeight="1" x14ac:dyDescent="0.3">
      <c r="B547" s="51" t="str">
        <f>'Sales Data'!C546</f>
        <v>INV-2406-544</v>
      </c>
      <c r="C547" s="31"/>
      <c r="D547" s="16" t="str">
        <f>'Sales Data'!E546</f>
        <v>ED-IND-IB11L-91</v>
      </c>
      <c r="E547" s="52">
        <f>'Sales Data'!G546</f>
        <v>780</v>
      </c>
      <c r="F547" s="72">
        <f>'Sales Data'!H546</f>
        <v>23</v>
      </c>
      <c r="G547" s="73"/>
      <c r="H547" s="73">
        <f>(InvoiceDetails[[#This Row],[Qty]]*InvoiceDetails[[#This Row],[Unit price]])-InvoiceDetails[[#This Row],[Discount]]</f>
        <v>17940</v>
      </c>
    </row>
    <row r="548" spans="2:8" ht="34.049999999999997" customHeight="1" x14ac:dyDescent="0.3">
      <c r="B548" s="51" t="str">
        <f>'Sales Data'!C547</f>
        <v>INV-2407-545</v>
      </c>
      <c r="C548" s="31"/>
      <c r="D548" s="16" t="str">
        <f>'Sales Data'!E547</f>
        <v>ED-IND-VH74L-41</v>
      </c>
      <c r="E548" s="52">
        <f>'Sales Data'!G547</f>
        <v>884</v>
      </c>
      <c r="F548" s="72">
        <f>'Sales Data'!H547</f>
        <v>26</v>
      </c>
      <c r="G548" s="73"/>
      <c r="H548" s="73">
        <f>(InvoiceDetails[[#This Row],[Qty]]*InvoiceDetails[[#This Row],[Unit price]])-InvoiceDetails[[#This Row],[Discount]]</f>
        <v>22984</v>
      </c>
    </row>
    <row r="549" spans="2:8" ht="34.049999999999997" customHeight="1" x14ac:dyDescent="0.3">
      <c r="B549" s="51" t="str">
        <f>'Sales Data'!C548</f>
        <v>INV-2407-546</v>
      </c>
      <c r="C549" s="31"/>
      <c r="D549" s="16" t="str">
        <f>'Sales Data'!E548</f>
        <v>ED-IND-NU78J-02</v>
      </c>
      <c r="E549" s="52">
        <f>'Sales Data'!G548</f>
        <v>664</v>
      </c>
      <c r="F549" s="72">
        <f>'Sales Data'!H548</f>
        <v>23</v>
      </c>
      <c r="G549" s="73"/>
      <c r="H549" s="73">
        <f>(InvoiceDetails[[#This Row],[Qty]]*InvoiceDetails[[#This Row],[Unit price]])-InvoiceDetails[[#This Row],[Discount]]</f>
        <v>15272</v>
      </c>
    </row>
    <row r="550" spans="2:8" ht="34.049999999999997" customHeight="1" x14ac:dyDescent="0.3">
      <c r="B550" s="51" t="str">
        <f>'Sales Data'!C549</f>
        <v>INV-2407-547</v>
      </c>
      <c r="C550" s="31"/>
      <c r="D550" s="16" t="str">
        <f>'Sales Data'!E549</f>
        <v>PC-IND-OX23H-48</v>
      </c>
      <c r="E550" s="52">
        <f>'Sales Data'!G549</f>
        <v>777</v>
      </c>
      <c r="F550" s="72">
        <f>'Sales Data'!H549</f>
        <v>23</v>
      </c>
      <c r="G550" s="73"/>
      <c r="H550" s="73">
        <f>(InvoiceDetails[[#This Row],[Qty]]*InvoiceDetails[[#This Row],[Unit price]])-InvoiceDetails[[#This Row],[Discount]]</f>
        <v>17871</v>
      </c>
    </row>
    <row r="551" spans="2:8" ht="34.049999999999997" customHeight="1" x14ac:dyDescent="0.3">
      <c r="B551" s="51" t="str">
        <f>'Sales Data'!C550</f>
        <v>INV-2407-548</v>
      </c>
      <c r="C551" s="31"/>
      <c r="D551" s="16" t="str">
        <f>'Sales Data'!E550</f>
        <v>ED-IND-RD37Q-97</v>
      </c>
      <c r="E551" s="52">
        <f>'Sales Data'!G550</f>
        <v>627</v>
      </c>
      <c r="F551" s="72">
        <f>'Sales Data'!H550</f>
        <v>25</v>
      </c>
      <c r="G551" s="73"/>
      <c r="H551" s="73">
        <f>(InvoiceDetails[[#This Row],[Qty]]*InvoiceDetails[[#This Row],[Unit price]])-InvoiceDetails[[#This Row],[Discount]]</f>
        <v>15675</v>
      </c>
    </row>
    <row r="552" spans="2:8" ht="34.049999999999997" customHeight="1" x14ac:dyDescent="0.3">
      <c r="B552" s="51" t="str">
        <f>'Sales Data'!C551</f>
        <v>INV-2407-549</v>
      </c>
      <c r="C552" s="31"/>
      <c r="D552" s="16" t="str">
        <f>'Sales Data'!E551</f>
        <v>ED-IND-KE92Q-83</v>
      </c>
      <c r="E552" s="52">
        <f>'Sales Data'!G551</f>
        <v>633</v>
      </c>
      <c r="F552" s="72">
        <f>'Sales Data'!H551</f>
        <v>23</v>
      </c>
      <c r="G552" s="73"/>
      <c r="H552" s="73">
        <f>(InvoiceDetails[[#This Row],[Qty]]*InvoiceDetails[[#This Row],[Unit price]])-InvoiceDetails[[#This Row],[Discount]]</f>
        <v>14559</v>
      </c>
    </row>
    <row r="553" spans="2:8" ht="34.049999999999997" customHeight="1" x14ac:dyDescent="0.3">
      <c r="B553" s="51" t="str">
        <f>'Sales Data'!C552</f>
        <v>INV-2407-550</v>
      </c>
      <c r="C553" s="31"/>
      <c r="D553" s="16" t="str">
        <f>'Sales Data'!E552</f>
        <v>ED-IND-GQ86P-32</v>
      </c>
      <c r="E553" s="52">
        <f>'Sales Data'!G552</f>
        <v>594</v>
      </c>
      <c r="F553" s="72">
        <f>'Sales Data'!H552</f>
        <v>25</v>
      </c>
      <c r="G553" s="73"/>
      <c r="H553" s="73">
        <f>(InvoiceDetails[[#This Row],[Qty]]*InvoiceDetails[[#This Row],[Unit price]])-InvoiceDetails[[#This Row],[Discount]]</f>
        <v>14850</v>
      </c>
    </row>
    <row r="554" spans="2:8" ht="34.049999999999997" customHeight="1" x14ac:dyDescent="0.3">
      <c r="B554" s="51" t="str">
        <f>'Sales Data'!C553</f>
        <v>INV-2407-551</v>
      </c>
      <c r="C554" s="31"/>
      <c r="D554" s="16" t="str">
        <f>'Sales Data'!E553</f>
        <v>ED-IND-BY80C-50</v>
      </c>
      <c r="E554" s="52">
        <f>'Sales Data'!G553</f>
        <v>863</v>
      </c>
      <c r="F554" s="72">
        <f>'Sales Data'!H553</f>
        <v>22</v>
      </c>
      <c r="G554" s="73"/>
      <c r="H554" s="73">
        <f>(InvoiceDetails[[#This Row],[Qty]]*InvoiceDetails[[#This Row],[Unit price]])-InvoiceDetails[[#This Row],[Discount]]</f>
        <v>18986</v>
      </c>
    </row>
    <row r="555" spans="2:8" ht="34.049999999999997" customHeight="1" x14ac:dyDescent="0.3">
      <c r="B555" s="51" t="str">
        <f>'Sales Data'!C554</f>
        <v>INV-2407-552</v>
      </c>
      <c r="C555" s="31"/>
      <c r="D555" s="16" t="str">
        <f>'Sales Data'!E554</f>
        <v>PC-IND-UC73T-67</v>
      </c>
      <c r="E555" s="52">
        <f>'Sales Data'!G554</f>
        <v>866</v>
      </c>
      <c r="F555" s="72">
        <f>'Sales Data'!H554</f>
        <v>29</v>
      </c>
      <c r="G555" s="73"/>
      <c r="H555" s="73">
        <f>(InvoiceDetails[[#This Row],[Qty]]*InvoiceDetails[[#This Row],[Unit price]])-InvoiceDetails[[#This Row],[Discount]]</f>
        <v>25114</v>
      </c>
    </row>
    <row r="556" spans="2:8" ht="34.049999999999997" customHeight="1" x14ac:dyDescent="0.3">
      <c r="B556" s="51" t="str">
        <f>'Sales Data'!C555</f>
        <v>INV-2407-553</v>
      </c>
      <c r="C556" s="31"/>
      <c r="D556" s="16" t="str">
        <f>'Sales Data'!E555</f>
        <v>ED-IND-RH29R-12</v>
      </c>
      <c r="E556" s="52">
        <f>'Sales Data'!G555</f>
        <v>727</v>
      </c>
      <c r="F556" s="72">
        <f>'Sales Data'!H555</f>
        <v>21</v>
      </c>
      <c r="G556" s="73"/>
      <c r="H556" s="73">
        <f>(InvoiceDetails[[#This Row],[Qty]]*InvoiceDetails[[#This Row],[Unit price]])-InvoiceDetails[[#This Row],[Discount]]</f>
        <v>15267</v>
      </c>
    </row>
    <row r="557" spans="2:8" ht="34.049999999999997" customHeight="1" x14ac:dyDescent="0.3">
      <c r="B557" s="51" t="str">
        <f>'Sales Data'!C556</f>
        <v>INV-2407-554</v>
      </c>
      <c r="C557" s="31"/>
      <c r="D557" s="16" t="str">
        <f>'Sales Data'!E556</f>
        <v>ED-IND-YX84U-89</v>
      </c>
      <c r="E557" s="52">
        <f>'Sales Data'!G556</f>
        <v>946</v>
      </c>
      <c r="F557" s="72">
        <f>'Sales Data'!H556</f>
        <v>24</v>
      </c>
      <c r="G557" s="73"/>
      <c r="H557" s="73">
        <f>(InvoiceDetails[[#This Row],[Qty]]*InvoiceDetails[[#This Row],[Unit price]])-InvoiceDetails[[#This Row],[Discount]]</f>
        <v>22704</v>
      </c>
    </row>
    <row r="558" spans="2:8" ht="34.049999999999997" customHeight="1" x14ac:dyDescent="0.3">
      <c r="B558" s="51" t="str">
        <f>'Sales Data'!C557</f>
        <v>INV-2407-555</v>
      </c>
      <c r="C558" s="31"/>
      <c r="D558" s="16" t="str">
        <f>'Sales Data'!E557</f>
        <v>PC-IND-EU86S-92</v>
      </c>
      <c r="E558" s="52">
        <f>'Sales Data'!G557</f>
        <v>643</v>
      </c>
      <c r="F558" s="72">
        <f>'Sales Data'!H557</f>
        <v>29</v>
      </c>
      <c r="G558" s="73"/>
      <c r="H558" s="73">
        <f>(InvoiceDetails[[#This Row],[Qty]]*InvoiceDetails[[#This Row],[Unit price]])-InvoiceDetails[[#This Row],[Discount]]</f>
        <v>18647</v>
      </c>
    </row>
    <row r="559" spans="2:8" ht="34.049999999999997" customHeight="1" x14ac:dyDescent="0.3">
      <c r="B559" s="51" t="str">
        <f>'Sales Data'!C558</f>
        <v>INV-2407-556</v>
      </c>
      <c r="C559" s="31"/>
      <c r="D559" s="16" t="str">
        <f>'Sales Data'!E558</f>
        <v>ED-IND-ZL96L-51</v>
      </c>
      <c r="E559" s="52">
        <f>'Sales Data'!G558</f>
        <v>891</v>
      </c>
      <c r="F559" s="72">
        <f>'Sales Data'!H558</f>
        <v>22</v>
      </c>
      <c r="G559" s="73"/>
      <c r="H559" s="73">
        <f>(InvoiceDetails[[#This Row],[Qty]]*InvoiceDetails[[#This Row],[Unit price]])-InvoiceDetails[[#This Row],[Discount]]</f>
        <v>19602</v>
      </c>
    </row>
    <row r="560" spans="2:8" ht="34.049999999999997" customHeight="1" x14ac:dyDescent="0.3">
      <c r="B560" s="51" t="str">
        <f>'Sales Data'!C559</f>
        <v>INV-2407-557</v>
      </c>
      <c r="C560" s="31"/>
      <c r="D560" s="16" t="str">
        <f>'Sales Data'!E559</f>
        <v>ED-IND-ND70C-51</v>
      </c>
      <c r="E560" s="52">
        <f>'Sales Data'!G559</f>
        <v>572</v>
      </c>
      <c r="F560" s="72">
        <f>'Sales Data'!H559</f>
        <v>25</v>
      </c>
      <c r="G560" s="73"/>
      <c r="H560" s="73">
        <f>(InvoiceDetails[[#This Row],[Qty]]*InvoiceDetails[[#This Row],[Unit price]])-InvoiceDetails[[#This Row],[Discount]]</f>
        <v>14300</v>
      </c>
    </row>
    <row r="561" spans="2:8" ht="34.049999999999997" customHeight="1" x14ac:dyDescent="0.3">
      <c r="B561" s="51" t="str">
        <f>'Sales Data'!C560</f>
        <v>INV-2407-558</v>
      </c>
      <c r="C561" s="31"/>
      <c r="D561" s="16" t="str">
        <f>'Sales Data'!E560</f>
        <v>ED-IND-SY16N-84</v>
      </c>
      <c r="E561" s="52">
        <f>'Sales Data'!G560</f>
        <v>515</v>
      </c>
      <c r="F561" s="72">
        <f>'Sales Data'!H560</f>
        <v>30</v>
      </c>
      <c r="G561" s="73"/>
      <c r="H561" s="73">
        <f>(InvoiceDetails[[#This Row],[Qty]]*InvoiceDetails[[#This Row],[Unit price]])-InvoiceDetails[[#This Row],[Discount]]</f>
        <v>15450</v>
      </c>
    </row>
    <row r="562" spans="2:8" ht="34.049999999999997" customHeight="1" x14ac:dyDescent="0.3">
      <c r="B562" s="51" t="str">
        <f>'Sales Data'!C561</f>
        <v>INV-2407-559</v>
      </c>
      <c r="C562" s="31"/>
      <c r="D562" s="16" t="str">
        <f>'Sales Data'!E561</f>
        <v>ED-IND-IT55K-69</v>
      </c>
      <c r="E562" s="52">
        <f>'Sales Data'!G561</f>
        <v>760</v>
      </c>
      <c r="F562" s="72">
        <f>'Sales Data'!H561</f>
        <v>28</v>
      </c>
      <c r="G562" s="73"/>
      <c r="H562" s="73">
        <f>(InvoiceDetails[[#This Row],[Qty]]*InvoiceDetails[[#This Row],[Unit price]])-InvoiceDetails[[#This Row],[Discount]]</f>
        <v>21280</v>
      </c>
    </row>
    <row r="563" spans="2:8" ht="34.049999999999997" customHeight="1" x14ac:dyDescent="0.3">
      <c r="B563" s="51" t="str">
        <f>'Sales Data'!C562</f>
        <v>INV-2407-560</v>
      </c>
      <c r="C563" s="31"/>
      <c r="D563" s="16" t="str">
        <f>'Sales Data'!E562</f>
        <v>ED-IND-QK35T-01</v>
      </c>
      <c r="E563" s="52">
        <f>'Sales Data'!G562</f>
        <v>828</v>
      </c>
      <c r="F563" s="72">
        <f>'Sales Data'!H562</f>
        <v>25</v>
      </c>
      <c r="G563" s="73"/>
      <c r="H563" s="73">
        <f>(InvoiceDetails[[#This Row],[Qty]]*InvoiceDetails[[#This Row],[Unit price]])-InvoiceDetails[[#This Row],[Discount]]</f>
        <v>20700</v>
      </c>
    </row>
    <row r="564" spans="2:8" ht="34.049999999999997" customHeight="1" x14ac:dyDescent="0.3">
      <c r="B564" s="51" t="str">
        <f>'Sales Data'!C563</f>
        <v>INV-2407-561</v>
      </c>
      <c r="C564" s="31"/>
      <c r="D564" s="16" t="str">
        <f>'Sales Data'!E563</f>
        <v>ED-IND-AE99B-20</v>
      </c>
      <c r="E564" s="52">
        <f>'Sales Data'!G563</f>
        <v>612</v>
      </c>
      <c r="F564" s="72">
        <f>'Sales Data'!H563</f>
        <v>21</v>
      </c>
      <c r="G564" s="73"/>
      <c r="H564" s="73">
        <f>(InvoiceDetails[[#This Row],[Qty]]*InvoiceDetails[[#This Row],[Unit price]])-InvoiceDetails[[#This Row],[Discount]]</f>
        <v>12852</v>
      </c>
    </row>
    <row r="565" spans="2:8" ht="34.049999999999997" customHeight="1" x14ac:dyDescent="0.3">
      <c r="B565" s="51" t="str">
        <f>'Sales Data'!C564</f>
        <v>INV-2407-562</v>
      </c>
      <c r="C565" s="31"/>
      <c r="D565" s="16" t="str">
        <f>'Sales Data'!E564</f>
        <v>ED-IND-KC13P-47</v>
      </c>
      <c r="E565" s="52">
        <f>'Sales Data'!G564</f>
        <v>934</v>
      </c>
      <c r="F565" s="72">
        <f>'Sales Data'!H564</f>
        <v>26</v>
      </c>
      <c r="G565" s="73"/>
      <c r="H565" s="73">
        <f>(InvoiceDetails[[#This Row],[Qty]]*InvoiceDetails[[#This Row],[Unit price]])-InvoiceDetails[[#This Row],[Discount]]</f>
        <v>24284</v>
      </c>
    </row>
    <row r="566" spans="2:8" ht="34.049999999999997" customHeight="1" x14ac:dyDescent="0.3">
      <c r="B566" s="51" t="str">
        <f>'Sales Data'!C565</f>
        <v>INV-2407-563</v>
      </c>
      <c r="C566" s="31"/>
      <c r="D566" s="16" t="str">
        <f>'Sales Data'!E565</f>
        <v>PC-IND-TK58D-94</v>
      </c>
      <c r="E566" s="52">
        <f>'Sales Data'!G565</f>
        <v>788</v>
      </c>
      <c r="F566" s="72">
        <f>'Sales Data'!H565</f>
        <v>21</v>
      </c>
      <c r="G566" s="73"/>
      <c r="H566" s="73">
        <f>(InvoiceDetails[[#This Row],[Qty]]*InvoiceDetails[[#This Row],[Unit price]])-InvoiceDetails[[#This Row],[Discount]]</f>
        <v>16548</v>
      </c>
    </row>
    <row r="567" spans="2:8" ht="34.049999999999997" customHeight="1" x14ac:dyDescent="0.3">
      <c r="B567" s="51" t="str">
        <f>'Sales Data'!C566</f>
        <v>INV-2407-564</v>
      </c>
      <c r="C567" s="31"/>
      <c r="D567" s="16" t="str">
        <f>'Sales Data'!E566</f>
        <v>ED-IND-GX50P-50</v>
      </c>
      <c r="E567" s="52">
        <f>'Sales Data'!G566</f>
        <v>686</v>
      </c>
      <c r="F567" s="72">
        <f>'Sales Data'!H566</f>
        <v>26</v>
      </c>
      <c r="G567" s="73"/>
      <c r="H567" s="73">
        <f>(InvoiceDetails[[#This Row],[Qty]]*InvoiceDetails[[#This Row],[Unit price]])-InvoiceDetails[[#This Row],[Discount]]</f>
        <v>17836</v>
      </c>
    </row>
    <row r="568" spans="2:8" ht="34.049999999999997" customHeight="1" x14ac:dyDescent="0.3">
      <c r="B568" s="51" t="str">
        <f>'Sales Data'!C567</f>
        <v>INV-2407-565</v>
      </c>
      <c r="C568" s="31"/>
      <c r="D568" s="16" t="str">
        <f>'Sales Data'!E567</f>
        <v>PC-IND-EA78R-70</v>
      </c>
      <c r="E568" s="52">
        <f>'Sales Data'!G567</f>
        <v>704</v>
      </c>
      <c r="F568" s="72">
        <f>'Sales Data'!H567</f>
        <v>22</v>
      </c>
      <c r="G568" s="73"/>
      <c r="H568" s="73">
        <f>(InvoiceDetails[[#This Row],[Qty]]*InvoiceDetails[[#This Row],[Unit price]])-InvoiceDetails[[#This Row],[Discount]]</f>
        <v>15488</v>
      </c>
    </row>
    <row r="569" spans="2:8" ht="34.049999999999997" customHeight="1" x14ac:dyDescent="0.3">
      <c r="B569" s="51" t="str">
        <f>'Sales Data'!C568</f>
        <v>INV-2407-566</v>
      </c>
      <c r="C569" s="31"/>
      <c r="D569" s="16" t="str">
        <f>'Sales Data'!E568</f>
        <v>ED-IND-HI43J-06</v>
      </c>
      <c r="E569" s="52">
        <f>'Sales Data'!G568</f>
        <v>966</v>
      </c>
      <c r="F569" s="72">
        <f>'Sales Data'!H568</f>
        <v>31</v>
      </c>
      <c r="G569" s="73"/>
      <c r="H569" s="73">
        <f>(InvoiceDetails[[#This Row],[Qty]]*InvoiceDetails[[#This Row],[Unit price]])-InvoiceDetails[[#This Row],[Discount]]</f>
        <v>29946</v>
      </c>
    </row>
    <row r="570" spans="2:8" ht="34.049999999999997" customHeight="1" x14ac:dyDescent="0.3">
      <c r="B570" s="51" t="str">
        <f>'Sales Data'!C569</f>
        <v>INV-2407-567</v>
      </c>
      <c r="C570" s="31"/>
      <c r="D570" s="16" t="str">
        <f>'Sales Data'!E569</f>
        <v>ED-IND-PA96Q-92</v>
      </c>
      <c r="E570" s="52">
        <f>'Sales Data'!G569</f>
        <v>986</v>
      </c>
      <c r="F570" s="72">
        <f>'Sales Data'!H569</f>
        <v>26</v>
      </c>
      <c r="G570" s="73"/>
      <c r="H570" s="73">
        <f>(InvoiceDetails[[#This Row],[Qty]]*InvoiceDetails[[#This Row],[Unit price]])-InvoiceDetails[[#This Row],[Discount]]</f>
        <v>25636</v>
      </c>
    </row>
    <row r="571" spans="2:8" ht="34.049999999999997" customHeight="1" x14ac:dyDescent="0.3">
      <c r="B571" s="51" t="str">
        <f>'Sales Data'!C570</f>
        <v>INV-2407-568</v>
      </c>
      <c r="C571" s="31"/>
      <c r="D571" s="16" t="str">
        <f>'Sales Data'!E570</f>
        <v>ED-IND-JE24H-10</v>
      </c>
      <c r="E571" s="52">
        <f>'Sales Data'!G570</f>
        <v>794</v>
      </c>
      <c r="F571" s="72">
        <f>'Sales Data'!H570</f>
        <v>26</v>
      </c>
      <c r="G571" s="73"/>
      <c r="H571" s="73">
        <f>(InvoiceDetails[[#This Row],[Qty]]*InvoiceDetails[[#This Row],[Unit price]])-InvoiceDetails[[#This Row],[Discount]]</f>
        <v>20644</v>
      </c>
    </row>
    <row r="572" spans="2:8" ht="34.049999999999997" customHeight="1" x14ac:dyDescent="0.3">
      <c r="B572" s="51" t="str">
        <f>'Sales Data'!C571</f>
        <v>INV-2407-569</v>
      </c>
      <c r="C572" s="31"/>
      <c r="D572" s="16" t="str">
        <f>'Sales Data'!E571</f>
        <v>ED-IND-PV79R-29</v>
      </c>
      <c r="E572" s="52">
        <f>'Sales Data'!G571</f>
        <v>686</v>
      </c>
      <c r="F572" s="72">
        <f>'Sales Data'!H571</f>
        <v>21</v>
      </c>
      <c r="G572" s="73"/>
      <c r="H572" s="73">
        <f>(InvoiceDetails[[#This Row],[Qty]]*InvoiceDetails[[#This Row],[Unit price]])-InvoiceDetails[[#This Row],[Discount]]</f>
        <v>14406</v>
      </c>
    </row>
    <row r="573" spans="2:8" ht="34.049999999999997" customHeight="1" x14ac:dyDescent="0.3">
      <c r="B573" s="51" t="str">
        <f>'Sales Data'!C572</f>
        <v>INV-2407-570</v>
      </c>
      <c r="C573" s="31"/>
      <c r="D573" s="16" t="str">
        <f>'Sales Data'!E572</f>
        <v>ED-IND-EX27F-80</v>
      </c>
      <c r="E573" s="52">
        <f>'Sales Data'!G572</f>
        <v>966</v>
      </c>
      <c r="F573" s="72">
        <f>'Sales Data'!H572</f>
        <v>31</v>
      </c>
      <c r="G573" s="73"/>
      <c r="H573" s="73">
        <f>(InvoiceDetails[[#This Row],[Qty]]*InvoiceDetails[[#This Row],[Unit price]])-InvoiceDetails[[#This Row],[Discount]]</f>
        <v>29946</v>
      </c>
    </row>
    <row r="574" spans="2:8" ht="34.049999999999997" customHeight="1" x14ac:dyDescent="0.3">
      <c r="B574" s="51" t="str">
        <f>'Sales Data'!C573</f>
        <v>INV-2407-571</v>
      </c>
      <c r="C574" s="31"/>
      <c r="D574" s="16" t="str">
        <f>'Sales Data'!E573</f>
        <v>ED-IND-YN48Z-77</v>
      </c>
      <c r="E574" s="52">
        <f>'Sales Data'!G573</f>
        <v>874</v>
      </c>
      <c r="F574" s="72">
        <f>'Sales Data'!H573</f>
        <v>29</v>
      </c>
      <c r="G574" s="73"/>
      <c r="H574" s="73">
        <f>(InvoiceDetails[[#This Row],[Qty]]*InvoiceDetails[[#This Row],[Unit price]])-InvoiceDetails[[#This Row],[Discount]]</f>
        <v>25346</v>
      </c>
    </row>
    <row r="575" spans="2:8" ht="34.049999999999997" customHeight="1" x14ac:dyDescent="0.3">
      <c r="B575" s="51" t="str">
        <f>'Sales Data'!C574</f>
        <v>INV-2407-572</v>
      </c>
      <c r="C575" s="31"/>
      <c r="D575" s="16" t="str">
        <f>'Sales Data'!E574</f>
        <v>ED-IND-IP79W-78</v>
      </c>
      <c r="E575" s="52">
        <f>'Sales Data'!G574</f>
        <v>981</v>
      </c>
      <c r="F575" s="72">
        <f>'Sales Data'!H574</f>
        <v>26</v>
      </c>
      <c r="G575" s="73"/>
      <c r="H575" s="73">
        <f>(InvoiceDetails[[#This Row],[Qty]]*InvoiceDetails[[#This Row],[Unit price]])-InvoiceDetails[[#This Row],[Discount]]</f>
        <v>25506</v>
      </c>
    </row>
    <row r="576" spans="2:8" ht="34.049999999999997" customHeight="1" x14ac:dyDescent="0.3">
      <c r="B576" s="51" t="str">
        <f>'Sales Data'!C575</f>
        <v>INV-2407-573</v>
      </c>
      <c r="C576" s="31"/>
      <c r="D576" s="16" t="str">
        <f>'Sales Data'!E575</f>
        <v>ED-IND-MT12G-70</v>
      </c>
      <c r="E576" s="52">
        <f>'Sales Data'!G575</f>
        <v>581</v>
      </c>
      <c r="F576" s="72">
        <f>'Sales Data'!H575</f>
        <v>24</v>
      </c>
      <c r="G576" s="73"/>
      <c r="H576" s="73">
        <f>(InvoiceDetails[[#This Row],[Qty]]*InvoiceDetails[[#This Row],[Unit price]])-InvoiceDetails[[#This Row],[Discount]]</f>
        <v>13944</v>
      </c>
    </row>
    <row r="577" spans="2:8" ht="34.049999999999997" customHeight="1" x14ac:dyDescent="0.3">
      <c r="B577" s="51" t="str">
        <f>'Sales Data'!C576</f>
        <v>INV-2407-574</v>
      </c>
      <c r="C577" s="31"/>
      <c r="D577" s="16" t="str">
        <f>'Sales Data'!E576</f>
        <v>ED-IND-QL97P-72</v>
      </c>
      <c r="E577" s="52">
        <f>'Sales Data'!G576</f>
        <v>696</v>
      </c>
      <c r="F577" s="72">
        <f>'Sales Data'!H576</f>
        <v>25</v>
      </c>
      <c r="G577" s="73"/>
      <c r="H577" s="73">
        <f>(InvoiceDetails[[#This Row],[Qty]]*InvoiceDetails[[#This Row],[Unit price]])-InvoiceDetails[[#This Row],[Discount]]</f>
        <v>17400</v>
      </c>
    </row>
    <row r="578" spans="2:8" ht="34.049999999999997" customHeight="1" x14ac:dyDescent="0.3">
      <c r="B578" s="51" t="str">
        <f>'Sales Data'!C577</f>
        <v>INV-2407-575</v>
      </c>
      <c r="C578" s="31"/>
      <c r="D578" s="16" t="str">
        <f>'Sales Data'!E577</f>
        <v>ED-IND-PH81X-36</v>
      </c>
      <c r="E578" s="52">
        <f>'Sales Data'!G577</f>
        <v>511</v>
      </c>
      <c r="F578" s="72">
        <f>'Sales Data'!H577</f>
        <v>21</v>
      </c>
      <c r="G578" s="73"/>
      <c r="H578" s="73">
        <f>(InvoiceDetails[[#This Row],[Qty]]*InvoiceDetails[[#This Row],[Unit price]])-InvoiceDetails[[#This Row],[Discount]]</f>
        <v>10731</v>
      </c>
    </row>
    <row r="579" spans="2:8" ht="34.049999999999997" customHeight="1" x14ac:dyDescent="0.3">
      <c r="B579" s="51" t="str">
        <f>'Sales Data'!C578</f>
        <v>INV-2408-576</v>
      </c>
      <c r="C579" s="31"/>
      <c r="D579" s="16" t="str">
        <f>'Sales Data'!E578</f>
        <v>PC-IND-MN14I-06</v>
      </c>
      <c r="E579" s="52">
        <f>'Sales Data'!G578</f>
        <v>656</v>
      </c>
      <c r="F579" s="72">
        <f>'Sales Data'!H578</f>
        <v>26</v>
      </c>
      <c r="G579" s="73"/>
      <c r="H579" s="73">
        <f>(InvoiceDetails[[#This Row],[Qty]]*InvoiceDetails[[#This Row],[Unit price]])-InvoiceDetails[[#This Row],[Discount]]</f>
        <v>17056</v>
      </c>
    </row>
    <row r="580" spans="2:8" ht="34.049999999999997" customHeight="1" x14ac:dyDescent="0.3">
      <c r="B580" s="51" t="str">
        <f>'Sales Data'!C579</f>
        <v>INV-2408-577</v>
      </c>
      <c r="C580" s="31"/>
      <c r="D580" s="16" t="str">
        <f>'Sales Data'!E579</f>
        <v>ED-IND-KG59K-65</v>
      </c>
      <c r="E580" s="52">
        <f>'Sales Data'!G579</f>
        <v>968</v>
      </c>
      <c r="F580" s="72">
        <f>'Sales Data'!H579</f>
        <v>28</v>
      </c>
      <c r="G580" s="73"/>
      <c r="H580" s="73">
        <f>(InvoiceDetails[[#This Row],[Qty]]*InvoiceDetails[[#This Row],[Unit price]])-InvoiceDetails[[#This Row],[Discount]]</f>
        <v>27104</v>
      </c>
    </row>
    <row r="581" spans="2:8" ht="34.049999999999997" customHeight="1" x14ac:dyDescent="0.3">
      <c r="B581" s="51" t="str">
        <f>'Sales Data'!C580</f>
        <v>INV-2408-578</v>
      </c>
      <c r="C581" s="31"/>
      <c r="D581" s="16" t="str">
        <f>'Sales Data'!E580</f>
        <v>ED-IND-DW92G-51</v>
      </c>
      <c r="E581" s="52">
        <f>'Sales Data'!G580</f>
        <v>921</v>
      </c>
      <c r="F581" s="72">
        <f>'Sales Data'!H580</f>
        <v>29</v>
      </c>
      <c r="G581" s="73"/>
      <c r="H581" s="73">
        <f>(InvoiceDetails[[#This Row],[Qty]]*InvoiceDetails[[#This Row],[Unit price]])-InvoiceDetails[[#This Row],[Discount]]</f>
        <v>26709</v>
      </c>
    </row>
    <row r="582" spans="2:8" ht="34.049999999999997" customHeight="1" x14ac:dyDescent="0.3">
      <c r="B582" s="51" t="str">
        <f>'Sales Data'!C581</f>
        <v>INV-2408-579</v>
      </c>
      <c r="C582" s="31"/>
      <c r="D582" s="16" t="str">
        <f>'Sales Data'!E581</f>
        <v>ED-IND-WY46Q-51</v>
      </c>
      <c r="E582" s="52">
        <f>'Sales Data'!G581</f>
        <v>805</v>
      </c>
      <c r="F582" s="72">
        <f>'Sales Data'!H581</f>
        <v>31</v>
      </c>
      <c r="G582" s="73"/>
      <c r="H582" s="73">
        <f>(InvoiceDetails[[#This Row],[Qty]]*InvoiceDetails[[#This Row],[Unit price]])-InvoiceDetails[[#This Row],[Discount]]</f>
        <v>24955</v>
      </c>
    </row>
    <row r="583" spans="2:8" ht="34.049999999999997" customHeight="1" x14ac:dyDescent="0.3">
      <c r="B583" s="51" t="str">
        <f>'Sales Data'!C582</f>
        <v>INV-2408-580</v>
      </c>
      <c r="C583" s="31"/>
      <c r="D583" s="16" t="str">
        <f>'Sales Data'!E582</f>
        <v>ED-IND-BN25J-43</v>
      </c>
      <c r="E583" s="52">
        <f>'Sales Data'!G582</f>
        <v>536</v>
      </c>
      <c r="F583" s="72">
        <f>'Sales Data'!H582</f>
        <v>21</v>
      </c>
      <c r="G583" s="73"/>
      <c r="H583" s="73">
        <f>(InvoiceDetails[[#This Row],[Qty]]*InvoiceDetails[[#This Row],[Unit price]])-InvoiceDetails[[#This Row],[Discount]]</f>
        <v>11256</v>
      </c>
    </row>
    <row r="584" spans="2:8" ht="34.049999999999997" customHeight="1" x14ac:dyDescent="0.3">
      <c r="B584" s="51" t="str">
        <f>'Sales Data'!C583</f>
        <v>INV-2408-581</v>
      </c>
      <c r="C584" s="31"/>
      <c r="D584" s="16" t="str">
        <f>'Sales Data'!E583</f>
        <v>PC-IND-CB52L-67</v>
      </c>
      <c r="E584" s="52">
        <f>'Sales Data'!G583</f>
        <v>973</v>
      </c>
      <c r="F584" s="72">
        <f>'Sales Data'!H583</f>
        <v>24</v>
      </c>
      <c r="G584" s="73"/>
      <c r="H584" s="73">
        <f>(InvoiceDetails[[#This Row],[Qty]]*InvoiceDetails[[#This Row],[Unit price]])-InvoiceDetails[[#This Row],[Discount]]</f>
        <v>23352</v>
      </c>
    </row>
    <row r="585" spans="2:8" ht="34.049999999999997" customHeight="1" x14ac:dyDescent="0.3">
      <c r="B585" s="51" t="str">
        <f>'Sales Data'!C584</f>
        <v>INV-2408-582</v>
      </c>
      <c r="C585" s="31"/>
      <c r="D585" s="16" t="str">
        <f>'Sales Data'!E584</f>
        <v>PC-IND-NN66A-23</v>
      </c>
      <c r="E585" s="52">
        <f>'Sales Data'!G584</f>
        <v>666</v>
      </c>
      <c r="F585" s="72">
        <f>'Sales Data'!H584</f>
        <v>24</v>
      </c>
      <c r="G585" s="73"/>
      <c r="H585" s="73">
        <f>(InvoiceDetails[[#This Row],[Qty]]*InvoiceDetails[[#This Row],[Unit price]])-InvoiceDetails[[#This Row],[Discount]]</f>
        <v>15984</v>
      </c>
    </row>
    <row r="586" spans="2:8" ht="34.049999999999997" customHeight="1" x14ac:dyDescent="0.3">
      <c r="B586" s="51" t="str">
        <f>'Sales Data'!C585</f>
        <v>INV-2408-583</v>
      </c>
      <c r="C586" s="31"/>
      <c r="D586" s="16" t="str">
        <f>'Sales Data'!E585</f>
        <v>PC-IND-OO59V-83</v>
      </c>
      <c r="E586" s="52">
        <f>'Sales Data'!G585</f>
        <v>976</v>
      </c>
      <c r="F586" s="72">
        <f>'Sales Data'!H585</f>
        <v>25</v>
      </c>
      <c r="G586" s="73"/>
      <c r="H586" s="73">
        <f>(InvoiceDetails[[#This Row],[Qty]]*InvoiceDetails[[#This Row],[Unit price]])-InvoiceDetails[[#This Row],[Discount]]</f>
        <v>24400</v>
      </c>
    </row>
    <row r="587" spans="2:8" ht="34.049999999999997" customHeight="1" x14ac:dyDescent="0.3">
      <c r="B587" s="51" t="str">
        <f>'Sales Data'!C586</f>
        <v>INV-2408-584</v>
      </c>
      <c r="C587" s="31"/>
      <c r="D587" s="16" t="str">
        <f>'Sales Data'!E586</f>
        <v>PC-IND-PS62Q-26</v>
      </c>
      <c r="E587" s="52">
        <f>'Sales Data'!G586</f>
        <v>707</v>
      </c>
      <c r="F587" s="72">
        <f>'Sales Data'!H586</f>
        <v>23</v>
      </c>
      <c r="G587" s="73"/>
      <c r="H587" s="73">
        <f>(InvoiceDetails[[#This Row],[Qty]]*InvoiceDetails[[#This Row],[Unit price]])-InvoiceDetails[[#This Row],[Discount]]</f>
        <v>16261</v>
      </c>
    </row>
    <row r="588" spans="2:8" ht="34.049999999999997" customHeight="1" x14ac:dyDescent="0.3">
      <c r="B588" s="51" t="str">
        <f>'Sales Data'!C587</f>
        <v>INV-2408-585</v>
      </c>
      <c r="C588" s="31"/>
      <c r="D588" s="16" t="str">
        <f>'Sales Data'!E587</f>
        <v>PC-IND-SK46J-62</v>
      </c>
      <c r="E588" s="52">
        <f>'Sales Data'!G587</f>
        <v>728</v>
      </c>
      <c r="F588" s="72">
        <f>'Sales Data'!H587</f>
        <v>22</v>
      </c>
      <c r="G588" s="73"/>
      <c r="H588" s="73">
        <f>(InvoiceDetails[[#This Row],[Qty]]*InvoiceDetails[[#This Row],[Unit price]])-InvoiceDetails[[#This Row],[Discount]]</f>
        <v>16016</v>
      </c>
    </row>
    <row r="589" spans="2:8" ht="34.049999999999997" customHeight="1" x14ac:dyDescent="0.3">
      <c r="B589" s="51" t="str">
        <f>'Sales Data'!C588</f>
        <v>INV-2408-586</v>
      </c>
      <c r="C589" s="31"/>
      <c r="D589" s="16" t="str">
        <f>'Sales Data'!E588</f>
        <v>ED-IND-II97H-03</v>
      </c>
      <c r="E589" s="52">
        <f>'Sales Data'!G588</f>
        <v>816</v>
      </c>
      <c r="F589" s="72">
        <f>'Sales Data'!H588</f>
        <v>21</v>
      </c>
      <c r="G589" s="73"/>
      <c r="H589" s="73">
        <f>(InvoiceDetails[[#This Row],[Qty]]*InvoiceDetails[[#This Row],[Unit price]])-InvoiceDetails[[#This Row],[Discount]]</f>
        <v>17136</v>
      </c>
    </row>
    <row r="590" spans="2:8" ht="34.049999999999997" customHeight="1" x14ac:dyDescent="0.3">
      <c r="B590" s="51" t="str">
        <f>'Sales Data'!C589</f>
        <v>INV-2408-587</v>
      </c>
      <c r="C590" s="31"/>
      <c r="D590" s="16" t="str">
        <f>'Sales Data'!E589</f>
        <v>ED-IND-GH64A-63</v>
      </c>
      <c r="E590" s="52">
        <f>'Sales Data'!G589</f>
        <v>617</v>
      </c>
      <c r="F590" s="72">
        <f>'Sales Data'!H589</f>
        <v>23</v>
      </c>
      <c r="G590" s="73"/>
      <c r="H590" s="73">
        <f>(InvoiceDetails[[#This Row],[Qty]]*InvoiceDetails[[#This Row],[Unit price]])-InvoiceDetails[[#This Row],[Discount]]</f>
        <v>14191</v>
      </c>
    </row>
    <row r="591" spans="2:8" ht="34.049999999999997" customHeight="1" x14ac:dyDescent="0.3">
      <c r="B591" s="51" t="str">
        <f>'Sales Data'!C590</f>
        <v>INV-2408-588</v>
      </c>
      <c r="C591" s="31"/>
      <c r="D591" s="16" t="str">
        <f>'Sales Data'!E590</f>
        <v>PC-IND-EU99Q-72</v>
      </c>
      <c r="E591" s="52">
        <f>'Sales Data'!G590</f>
        <v>585</v>
      </c>
      <c r="F591" s="72">
        <f>'Sales Data'!H590</f>
        <v>23</v>
      </c>
      <c r="G591" s="73"/>
      <c r="H591" s="73">
        <f>(InvoiceDetails[[#This Row],[Qty]]*InvoiceDetails[[#This Row],[Unit price]])-InvoiceDetails[[#This Row],[Discount]]</f>
        <v>13455</v>
      </c>
    </row>
    <row r="592" spans="2:8" ht="34.049999999999997" customHeight="1" x14ac:dyDescent="0.3">
      <c r="B592" s="51" t="str">
        <f>'Sales Data'!C591</f>
        <v>INV-2408-589</v>
      </c>
      <c r="C592" s="31"/>
      <c r="D592" s="16" t="str">
        <f>'Sales Data'!E591</f>
        <v>PC-IND-YU62O-09</v>
      </c>
      <c r="E592" s="52">
        <f>'Sales Data'!G591</f>
        <v>695</v>
      </c>
      <c r="F592" s="72">
        <f>'Sales Data'!H591</f>
        <v>26</v>
      </c>
      <c r="G592" s="73"/>
      <c r="H592" s="73">
        <f>(InvoiceDetails[[#This Row],[Qty]]*InvoiceDetails[[#This Row],[Unit price]])-InvoiceDetails[[#This Row],[Discount]]</f>
        <v>18070</v>
      </c>
    </row>
    <row r="593" spans="2:8" ht="34.049999999999997" customHeight="1" x14ac:dyDescent="0.3">
      <c r="B593" s="51" t="str">
        <f>'Sales Data'!C592</f>
        <v>INV-2408-590</v>
      </c>
      <c r="C593" s="31"/>
      <c r="D593" s="16" t="str">
        <f>'Sales Data'!E592</f>
        <v>ED-IND-LM39V-60</v>
      </c>
      <c r="E593" s="52">
        <f>'Sales Data'!G592</f>
        <v>806</v>
      </c>
      <c r="F593" s="72">
        <f>'Sales Data'!H592</f>
        <v>29</v>
      </c>
      <c r="G593" s="73"/>
      <c r="H593" s="73">
        <f>(InvoiceDetails[[#This Row],[Qty]]*InvoiceDetails[[#This Row],[Unit price]])-InvoiceDetails[[#This Row],[Discount]]</f>
        <v>23374</v>
      </c>
    </row>
    <row r="594" spans="2:8" ht="34.049999999999997" customHeight="1" x14ac:dyDescent="0.3">
      <c r="B594" s="51" t="str">
        <f>'Sales Data'!C593</f>
        <v>INV-2408-591</v>
      </c>
      <c r="C594" s="31"/>
      <c r="D594" s="16" t="str">
        <f>'Sales Data'!E593</f>
        <v>PC-IND-CL95J-29</v>
      </c>
      <c r="E594" s="52">
        <f>'Sales Data'!G593</f>
        <v>747</v>
      </c>
      <c r="F594" s="72">
        <f>'Sales Data'!H593</f>
        <v>24</v>
      </c>
      <c r="G594" s="73"/>
      <c r="H594" s="73">
        <f>(InvoiceDetails[[#This Row],[Qty]]*InvoiceDetails[[#This Row],[Unit price]])-InvoiceDetails[[#This Row],[Discount]]</f>
        <v>17928</v>
      </c>
    </row>
    <row r="595" spans="2:8" ht="34.049999999999997" customHeight="1" x14ac:dyDescent="0.3">
      <c r="B595" s="51" t="str">
        <f>'Sales Data'!C594</f>
        <v>INV-2408-592</v>
      </c>
      <c r="C595" s="31"/>
      <c r="D595" s="16" t="str">
        <f>'Sales Data'!E594</f>
        <v>ED-IND-TB76X-95</v>
      </c>
      <c r="E595" s="52">
        <f>'Sales Data'!G594</f>
        <v>754</v>
      </c>
      <c r="F595" s="72">
        <f>'Sales Data'!H594</f>
        <v>27</v>
      </c>
      <c r="G595" s="73"/>
      <c r="H595" s="73">
        <f>(InvoiceDetails[[#This Row],[Qty]]*InvoiceDetails[[#This Row],[Unit price]])-InvoiceDetails[[#This Row],[Discount]]</f>
        <v>20358</v>
      </c>
    </row>
    <row r="596" spans="2:8" ht="34.049999999999997" customHeight="1" x14ac:dyDescent="0.3">
      <c r="B596" s="51" t="str">
        <f>'Sales Data'!C595</f>
        <v>INV-2408-593</v>
      </c>
      <c r="C596" s="31"/>
      <c r="D596" s="16" t="str">
        <f>'Sales Data'!E595</f>
        <v>ED-IND-WJ69G-20</v>
      </c>
      <c r="E596" s="52">
        <f>'Sales Data'!G595</f>
        <v>574</v>
      </c>
      <c r="F596" s="72">
        <f>'Sales Data'!H595</f>
        <v>30</v>
      </c>
      <c r="G596" s="73"/>
      <c r="H596" s="73">
        <f>(InvoiceDetails[[#This Row],[Qty]]*InvoiceDetails[[#This Row],[Unit price]])-InvoiceDetails[[#This Row],[Discount]]</f>
        <v>17220</v>
      </c>
    </row>
    <row r="597" spans="2:8" ht="34.049999999999997" customHeight="1" x14ac:dyDescent="0.3">
      <c r="B597" s="51" t="str">
        <f>'Sales Data'!C596</f>
        <v>INV-2408-594</v>
      </c>
      <c r="C597" s="31"/>
      <c r="D597" s="16" t="str">
        <f>'Sales Data'!E596</f>
        <v>ED-IND-HM84S-97</v>
      </c>
      <c r="E597" s="52">
        <f>'Sales Data'!G596</f>
        <v>846</v>
      </c>
      <c r="F597" s="72">
        <f>'Sales Data'!H596</f>
        <v>26</v>
      </c>
      <c r="G597" s="73"/>
      <c r="H597" s="73">
        <f>(InvoiceDetails[[#This Row],[Qty]]*InvoiceDetails[[#This Row],[Unit price]])-InvoiceDetails[[#This Row],[Discount]]</f>
        <v>21996</v>
      </c>
    </row>
    <row r="598" spans="2:8" ht="34.049999999999997" customHeight="1" x14ac:dyDescent="0.3">
      <c r="B598" s="51" t="str">
        <f>'Sales Data'!C597</f>
        <v>INV-2408-595</v>
      </c>
      <c r="C598" s="31"/>
      <c r="D598" s="16" t="str">
        <f>'Sales Data'!E597</f>
        <v>PC-IND-MY67R-81</v>
      </c>
      <c r="E598" s="52">
        <f>'Sales Data'!G597</f>
        <v>987</v>
      </c>
      <c r="F598" s="72">
        <f>'Sales Data'!H597</f>
        <v>24</v>
      </c>
      <c r="G598" s="73"/>
      <c r="H598" s="73">
        <f>(InvoiceDetails[[#This Row],[Qty]]*InvoiceDetails[[#This Row],[Unit price]])-InvoiceDetails[[#This Row],[Discount]]</f>
        <v>23688</v>
      </c>
    </row>
    <row r="599" spans="2:8" ht="34.049999999999997" customHeight="1" x14ac:dyDescent="0.3">
      <c r="B599" s="51" t="str">
        <f>'Sales Data'!C598</f>
        <v>INV-2408-596</v>
      </c>
      <c r="C599" s="31"/>
      <c r="D599" s="16" t="str">
        <f>'Sales Data'!E598</f>
        <v>ED-IND-RQ49R-24</v>
      </c>
      <c r="E599" s="52">
        <f>'Sales Data'!G598</f>
        <v>926</v>
      </c>
      <c r="F599" s="72">
        <f>'Sales Data'!H598</f>
        <v>26</v>
      </c>
      <c r="G599" s="73"/>
      <c r="H599" s="73">
        <f>(InvoiceDetails[[#This Row],[Qty]]*InvoiceDetails[[#This Row],[Unit price]])-InvoiceDetails[[#This Row],[Discount]]</f>
        <v>24076</v>
      </c>
    </row>
    <row r="600" spans="2:8" ht="34.049999999999997" customHeight="1" x14ac:dyDescent="0.3">
      <c r="B600" s="51" t="str">
        <f>'Sales Data'!C599</f>
        <v>INV-2408-597</v>
      </c>
      <c r="C600" s="31"/>
      <c r="D600" s="16" t="str">
        <f>'Sales Data'!E599</f>
        <v>ED-IND-SQ94S-27</v>
      </c>
      <c r="E600" s="52">
        <f>'Sales Data'!G599</f>
        <v>815</v>
      </c>
      <c r="F600" s="72">
        <f>'Sales Data'!H599</f>
        <v>31</v>
      </c>
      <c r="G600" s="73"/>
      <c r="H600" s="73">
        <f>(InvoiceDetails[[#This Row],[Qty]]*InvoiceDetails[[#This Row],[Unit price]])-InvoiceDetails[[#This Row],[Discount]]</f>
        <v>25265</v>
      </c>
    </row>
    <row r="601" spans="2:8" ht="34.049999999999997" customHeight="1" x14ac:dyDescent="0.3">
      <c r="B601" s="51" t="str">
        <f>'Sales Data'!C600</f>
        <v>INV-2408-598</v>
      </c>
      <c r="C601" s="31"/>
      <c r="D601" s="16" t="str">
        <f>'Sales Data'!E600</f>
        <v>ED-IND-LK96P-42</v>
      </c>
      <c r="E601" s="52">
        <f>'Sales Data'!G600</f>
        <v>773</v>
      </c>
      <c r="F601" s="72">
        <f>'Sales Data'!H600</f>
        <v>26</v>
      </c>
      <c r="G601" s="73"/>
      <c r="H601" s="73">
        <f>(InvoiceDetails[[#This Row],[Qty]]*InvoiceDetails[[#This Row],[Unit price]])-InvoiceDetails[[#This Row],[Discount]]</f>
        <v>20098</v>
      </c>
    </row>
    <row r="602" spans="2:8" ht="34.049999999999997" customHeight="1" x14ac:dyDescent="0.3">
      <c r="B602" s="51" t="str">
        <f>'Sales Data'!C601</f>
        <v>INV-2408-599</v>
      </c>
      <c r="C602" s="31"/>
      <c r="D602" s="16" t="str">
        <f>'Sales Data'!E601</f>
        <v>ED-IND-HA85Q-96</v>
      </c>
      <c r="E602" s="52">
        <f>'Sales Data'!G601</f>
        <v>964</v>
      </c>
      <c r="F602" s="72">
        <f>'Sales Data'!H601</f>
        <v>24</v>
      </c>
      <c r="G602" s="73"/>
      <c r="H602" s="73">
        <f>(InvoiceDetails[[#This Row],[Qty]]*InvoiceDetails[[#This Row],[Unit price]])-InvoiceDetails[[#This Row],[Discount]]</f>
        <v>23136</v>
      </c>
    </row>
    <row r="603" spans="2:8" ht="34.049999999999997" customHeight="1" x14ac:dyDescent="0.3">
      <c r="B603" s="51" t="str">
        <f>'Sales Data'!C602</f>
        <v>INV-2408-600</v>
      </c>
      <c r="C603" s="31"/>
      <c r="D603" s="16" t="str">
        <f>'Sales Data'!E602</f>
        <v>ED-IND-PW18T-40</v>
      </c>
      <c r="E603" s="52">
        <f>'Sales Data'!G602</f>
        <v>274</v>
      </c>
      <c r="F603" s="72">
        <f>'Sales Data'!H602</f>
        <v>25</v>
      </c>
      <c r="G603" s="73"/>
      <c r="H603" s="73">
        <f>(InvoiceDetails[[#This Row],[Qty]]*InvoiceDetails[[#This Row],[Unit price]])-InvoiceDetails[[#This Row],[Discount]]</f>
        <v>6850</v>
      </c>
    </row>
    <row r="604" spans="2:8" ht="34.049999999999997" customHeight="1" x14ac:dyDescent="0.3">
      <c r="B604" s="51" t="str">
        <f>'Sales Data'!C603</f>
        <v>INV-2408-601</v>
      </c>
      <c r="C604" s="31"/>
      <c r="D604" s="16" t="str">
        <f>'Sales Data'!E603</f>
        <v>ED-IND-MC93X-99</v>
      </c>
      <c r="E604" s="52">
        <f>'Sales Data'!G603</f>
        <v>297</v>
      </c>
      <c r="F604" s="72">
        <f>'Sales Data'!H603</f>
        <v>24</v>
      </c>
      <c r="G604" s="73"/>
      <c r="H604" s="73">
        <f>(InvoiceDetails[[#This Row],[Qty]]*InvoiceDetails[[#This Row],[Unit price]])-InvoiceDetails[[#This Row],[Discount]]</f>
        <v>7128</v>
      </c>
    </row>
    <row r="605" spans="2:8" ht="34.049999999999997" customHeight="1" x14ac:dyDescent="0.3">
      <c r="B605" s="51" t="str">
        <f>'Sales Data'!C604</f>
        <v>INV-2408-602</v>
      </c>
      <c r="C605" s="31"/>
      <c r="D605" s="16" t="str">
        <f>'Sales Data'!E604</f>
        <v>ED-IND-VS31L-06</v>
      </c>
      <c r="E605" s="52">
        <f>'Sales Data'!G604</f>
        <v>294</v>
      </c>
      <c r="F605" s="72">
        <f>'Sales Data'!H604</f>
        <v>28</v>
      </c>
      <c r="G605" s="73"/>
      <c r="H605" s="73">
        <f>(InvoiceDetails[[#This Row],[Qty]]*InvoiceDetails[[#This Row],[Unit price]])-InvoiceDetails[[#This Row],[Discount]]</f>
        <v>8232</v>
      </c>
    </row>
    <row r="606" spans="2:8" ht="34.049999999999997" customHeight="1" x14ac:dyDescent="0.3">
      <c r="B606" s="51" t="str">
        <f>'Sales Data'!C605</f>
        <v>INV-2408-603</v>
      </c>
      <c r="C606" s="31"/>
      <c r="D606" s="16" t="str">
        <f>'Sales Data'!E605</f>
        <v>ED-IND-PT75M-95</v>
      </c>
      <c r="E606" s="52">
        <f>'Sales Data'!G605</f>
        <v>250</v>
      </c>
      <c r="F606" s="72">
        <f>'Sales Data'!H605</f>
        <v>26</v>
      </c>
      <c r="G606" s="73"/>
      <c r="H606" s="73">
        <f>(InvoiceDetails[[#This Row],[Qty]]*InvoiceDetails[[#This Row],[Unit price]])-InvoiceDetails[[#This Row],[Discount]]</f>
        <v>6500</v>
      </c>
    </row>
    <row r="607" spans="2:8" ht="34.049999999999997" customHeight="1" x14ac:dyDescent="0.3">
      <c r="B607" s="51" t="str">
        <f>'Sales Data'!C606</f>
        <v>INV-2408-604</v>
      </c>
      <c r="C607" s="31"/>
      <c r="D607" s="16" t="str">
        <f>'Sales Data'!E606</f>
        <v>ED-IND-WM57Z-71</v>
      </c>
      <c r="E607" s="52">
        <f>'Sales Data'!G606</f>
        <v>255</v>
      </c>
      <c r="F607" s="72">
        <f>'Sales Data'!H606</f>
        <v>31</v>
      </c>
      <c r="G607" s="73"/>
      <c r="H607" s="73">
        <f>(InvoiceDetails[[#This Row],[Qty]]*InvoiceDetails[[#This Row],[Unit price]])-InvoiceDetails[[#This Row],[Discount]]</f>
        <v>7905</v>
      </c>
    </row>
    <row r="608" spans="2:8" ht="34.049999999999997" customHeight="1" x14ac:dyDescent="0.3">
      <c r="B608" s="51" t="str">
        <f>'Sales Data'!C607</f>
        <v>INV-2408-605</v>
      </c>
      <c r="C608" s="31"/>
      <c r="D608" s="16" t="str">
        <f>'Sales Data'!E607</f>
        <v>ED-IND-CV14N-65</v>
      </c>
      <c r="E608" s="52">
        <f>'Sales Data'!G607</f>
        <v>251</v>
      </c>
      <c r="F608" s="72">
        <f>'Sales Data'!H607</f>
        <v>29</v>
      </c>
      <c r="G608" s="73"/>
      <c r="H608" s="73">
        <f>(InvoiceDetails[[#This Row],[Qty]]*InvoiceDetails[[#This Row],[Unit price]])-InvoiceDetails[[#This Row],[Discount]]</f>
        <v>7279</v>
      </c>
    </row>
    <row r="609" spans="2:8" ht="34.049999999999997" customHeight="1" x14ac:dyDescent="0.3">
      <c r="B609" s="51" t="str">
        <f>'Sales Data'!C608</f>
        <v>INV-2408-606</v>
      </c>
      <c r="C609" s="31"/>
      <c r="D609" s="16" t="str">
        <f>'Sales Data'!E608</f>
        <v>ED-IND-LS37W-58</v>
      </c>
      <c r="E609" s="52">
        <f>'Sales Data'!G608</f>
        <v>293</v>
      </c>
      <c r="F609" s="72">
        <f>'Sales Data'!H608</f>
        <v>22</v>
      </c>
      <c r="G609" s="73"/>
      <c r="H609" s="73">
        <f>(InvoiceDetails[[#This Row],[Qty]]*InvoiceDetails[[#This Row],[Unit price]])-InvoiceDetails[[#This Row],[Discount]]</f>
        <v>6446</v>
      </c>
    </row>
    <row r="610" spans="2:8" ht="34.049999999999997" customHeight="1" x14ac:dyDescent="0.3">
      <c r="B610" s="51" t="str">
        <f>'Sales Data'!C609</f>
        <v>INV-2409-607</v>
      </c>
      <c r="C610" s="31"/>
      <c r="D610" s="16" t="str">
        <f>'Sales Data'!E609</f>
        <v>ED-IND-UL37A-04</v>
      </c>
      <c r="E610" s="52">
        <f>'Sales Data'!G609</f>
        <v>232</v>
      </c>
      <c r="F610" s="72">
        <f>'Sales Data'!H609</f>
        <v>23</v>
      </c>
      <c r="G610" s="73"/>
      <c r="H610" s="73">
        <f>(InvoiceDetails[[#This Row],[Qty]]*InvoiceDetails[[#This Row],[Unit price]])-InvoiceDetails[[#This Row],[Discount]]</f>
        <v>5336</v>
      </c>
    </row>
    <row r="611" spans="2:8" ht="34.049999999999997" customHeight="1" x14ac:dyDescent="0.3">
      <c r="B611" s="51" t="str">
        <f>'Sales Data'!C610</f>
        <v>INV-2409-608</v>
      </c>
      <c r="C611" s="31"/>
      <c r="D611" s="16" t="str">
        <f>'Sales Data'!E610</f>
        <v>ED-IND-GM57B-59</v>
      </c>
      <c r="E611" s="52">
        <f>'Sales Data'!G610</f>
        <v>231</v>
      </c>
      <c r="F611" s="72">
        <f>'Sales Data'!H610</f>
        <v>27</v>
      </c>
      <c r="G611" s="73"/>
      <c r="H611" s="73">
        <f>(InvoiceDetails[[#This Row],[Qty]]*InvoiceDetails[[#This Row],[Unit price]])-InvoiceDetails[[#This Row],[Discount]]</f>
        <v>6237</v>
      </c>
    </row>
    <row r="612" spans="2:8" ht="34.049999999999997" customHeight="1" x14ac:dyDescent="0.3">
      <c r="B612" s="51" t="str">
        <f>'Sales Data'!C611</f>
        <v>INV-2409-609</v>
      </c>
      <c r="C612" s="31"/>
      <c r="D612" s="16" t="str">
        <f>'Sales Data'!E611</f>
        <v>PC-IND-ZX23K-36</v>
      </c>
      <c r="E612" s="52">
        <f>'Sales Data'!G611</f>
        <v>218</v>
      </c>
      <c r="F612" s="72">
        <f>'Sales Data'!H611</f>
        <v>21</v>
      </c>
      <c r="G612" s="73"/>
      <c r="H612" s="73">
        <f>(InvoiceDetails[[#This Row],[Qty]]*InvoiceDetails[[#This Row],[Unit price]])-InvoiceDetails[[#This Row],[Discount]]</f>
        <v>4578</v>
      </c>
    </row>
    <row r="613" spans="2:8" ht="34.049999999999997" customHeight="1" x14ac:dyDescent="0.3">
      <c r="B613" s="51" t="str">
        <f>'Sales Data'!C612</f>
        <v>INV-2409-610</v>
      </c>
      <c r="C613" s="31"/>
      <c r="D613" s="16" t="str">
        <f>'Sales Data'!E612</f>
        <v>ED-IND-MB17B-64</v>
      </c>
      <c r="E613" s="52">
        <f>'Sales Data'!G612</f>
        <v>277</v>
      </c>
      <c r="F613" s="72">
        <f>'Sales Data'!H612</f>
        <v>22</v>
      </c>
      <c r="G613" s="73"/>
      <c r="H613" s="73">
        <f>(InvoiceDetails[[#This Row],[Qty]]*InvoiceDetails[[#This Row],[Unit price]])-InvoiceDetails[[#This Row],[Discount]]</f>
        <v>6094</v>
      </c>
    </row>
    <row r="614" spans="2:8" ht="34.049999999999997" customHeight="1" x14ac:dyDescent="0.3">
      <c r="B614" s="51" t="str">
        <f>'Sales Data'!C613</f>
        <v>INV-2409-611</v>
      </c>
      <c r="C614" s="31"/>
      <c r="D614" s="16" t="str">
        <f>'Sales Data'!E613</f>
        <v>ED-IND-RK23Y-14</v>
      </c>
      <c r="E614" s="52">
        <f>'Sales Data'!G613</f>
        <v>234</v>
      </c>
      <c r="F614" s="72">
        <f>'Sales Data'!H613</f>
        <v>27</v>
      </c>
      <c r="G614" s="73"/>
      <c r="H614" s="73">
        <f>(InvoiceDetails[[#This Row],[Qty]]*InvoiceDetails[[#This Row],[Unit price]])-InvoiceDetails[[#This Row],[Discount]]</f>
        <v>6318</v>
      </c>
    </row>
    <row r="615" spans="2:8" ht="34.049999999999997" customHeight="1" x14ac:dyDescent="0.3">
      <c r="B615" s="51" t="str">
        <f>'Sales Data'!C614</f>
        <v>INV-2409-612</v>
      </c>
      <c r="C615" s="31"/>
      <c r="D615" s="16" t="str">
        <f>'Sales Data'!E614</f>
        <v>ED-IND-DD43X-04</v>
      </c>
      <c r="E615" s="52">
        <f>'Sales Data'!G614</f>
        <v>231</v>
      </c>
      <c r="F615" s="72">
        <f>'Sales Data'!H614</f>
        <v>28</v>
      </c>
      <c r="G615" s="73"/>
      <c r="H615" s="73">
        <f>(InvoiceDetails[[#This Row],[Qty]]*InvoiceDetails[[#This Row],[Unit price]])-InvoiceDetails[[#This Row],[Discount]]</f>
        <v>6468</v>
      </c>
    </row>
    <row r="616" spans="2:8" ht="34.049999999999997" customHeight="1" x14ac:dyDescent="0.3">
      <c r="B616" s="51" t="str">
        <f>'Sales Data'!C615</f>
        <v>INV-2409-613</v>
      </c>
      <c r="C616" s="31"/>
      <c r="D616" s="16" t="str">
        <f>'Sales Data'!E615</f>
        <v>ED-IND-FX48W-87</v>
      </c>
      <c r="E616" s="52">
        <f>'Sales Data'!G615</f>
        <v>202</v>
      </c>
      <c r="F616" s="72">
        <f>'Sales Data'!H615</f>
        <v>25</v>
      </c>
      <c r="G616" s="73"/>
      <c r="H616" s="73">
        <f>(InvoiceDetails[[#This Row],[Qty]]*InvoiceDetails[[#This Row],[Unit price]])-InvoiceDetails[[#This Row],[Discount]]</f>
        <v>5050</v>
      </c>
    </row>
    <row r="617" spans="2:8" ht="34.049999999999997" customHeight="1" x14ac:dyDescent="0.3">
      <c r="B617" s="51" t="str">
        <f>'Sales Data'!C616</f>
        <v>INV-2409-614</v>
      </c>
      <c r="C617" s="31"/>
      <c r="D617" s="16" t="str">
        <f>'Sales Data'!E616</f>
        <v>ED-IND-MU63M-58</v>
      </c>
      <c r="E617" s="52">
        <f>'Sales Data'!G616</f>
        <v>227</v>
      </c>
      <c r="F617" s="72">
        <f>'Sales Data'!H616</f>
        <v>24</v>
      </c>
      <c r="G617" s="73"/>
      <c r="H617" s="73">
        <f>(InvoiceDetails[[#This Row],[Qty]]*InvoiceDetails[[#This Row],[Unit price]])-InvoiceDetails[[#This Row],[Discount]]</f>
        <v>5448</v>
      </c>
    </row>
    <row r="618" spans="2:8" ht="34.049999999999997" customHeight="1" x14ac:dyDescent="0.3">
      <c r="B618" s="51" t="str">
        <f>'Sales Data'!C617</f>
        <v>INV-2409-615</v>
      </c>
      <c r="C618" s="31"/>
      <c r="D618" s="16" t="str">
        <f>'Sales Data'!E617</f>
        <v>ED-IND-BQ98Y-22</v>
      </c>
      <c r="E618" s="52">
        <f>'Sales Data'!G617</f>
        <v>269</v>
      </c>
      <c r="F618" s="72">
        <f>'Sales Data'!H617</f>
        <v>22</v>
      </c>
      <c r="G618" s="73"/>
      <c r="H618" s="73">
        <f>(InvoiceDetails[[#This Row],[Qty]]*InvoiceDetails[[#This Row],[Unit price]])-InvoiceDetails[[#This Row],[Discount]]</f>
        <v>5918</v>
      </c>
    </row>
    <row r="619" spans="2:8" ht="34.049999999999997" customHeight="1" x14ac:dyDescent="0.3">
      <c r="B619" s="51" t="str">
        <f>'Sales Data'!C618</f>
        <v>INV-2409-616</v>
      </c>
      <c r="C619" s="31"/>
      <c r="D619" s="16" t="str">
        <f>'Sales Data'!E618</f>
        <v>ED-IND-TM48M-05</v>
      </c>
      <c r="E619" s="52">
        <f>'Sales Data'!G618</f>
        <v>212</v>
      </c>
      <c r="F619" s="72">
        <f>'Sales Data'!H618</f>
        <v>27</v>
      </c>
      <c r="G619" s="73"/>
      <c r="H619" s="73">
        <f>(InvoiceDetails[[#This Row],[Qty]]*InvoiceDetails[[#This Row],[Unit price]])-InvoiceDetails[[#This Row],[Discount]]</f>
        <v>5724</v>
      </c>
    </row>
    <row r="620" spans="2:8" ht="34.049999999999997" customHeight="1" x14ac:dyDescent="0.3">
      <c r="B620" s="51" t="str">
        <f>'Sales Data'!C619</f>
        <v>INV-2409-617</v>
      </c>
      <c r="C620" s="31"/>
      <c r="D620" s="16" t="str">
        <f>'Sales Data'!E619</f>
        <v>ED-IND-KT59V-85</v>
      </c>
      <c r="E620" s="52">
        <f>'Sales Data'!G619</f>
        <v>239</v>
      </c>
      <c r="F620" s="72">
        <f>'Sales Data'!H619</f>
        <v>30</v>
      </c>
      <c r="G620" s="73"/>
      <c r="H620" s="73">
        <f>(InvoiceDetails[[#This Row],[Qty]]*InvoiceDetails[[#This Row],[Unit price]])-InvoiceDetails[[#This Row],[Discount]]</f>
        <v>7170</v>
      </c>
    </row>
    <row r="621" spans="2:8" ht="34.049999999999997" customHeight="1" x14ac:dyDescent="0.3">
      <c r="B621" s="51" t="str">
        <f>'Sales Data'!C620</f>
        <v>INV-2409-618</v>
      </c>
      <c r="C621" s="31"/>
      <c r="D621" s="16" t="str">
        <f>'Sales Data'!E620</f>
        <v>PC-IND-XZ66G-09</v>
      </c>
      <c r="E621" s="52">
        <f>'Sales Data'!G620</f>
        <v>264</v>
      </c>
      <c r="F621" s="72">
        <f>'Sales Data'!H620</f>
        <v>30</v>
      </c>
      <c r="G621" s="73"/>
      <c r="H621" s="73">
        <f>(InvoiceDetails[[#This Row],[Qty]]*InvoiceDetails[[#This Row],[Unit price]])-InvoiceDetails[[#This Row],[Discount]]</f>
        <v>7920</v>
      </c>
    </row>
    <row r="622" spans="2:8" ht="34.049999999999997" customHeight="1" x14ac:dyDescent="0.3">
      <c r="B622" s="51" t="str">
        <f>'Sales Data'!C621</f>
        <v>INV-2409-619</v>
      </c>
      <c r="C622" s="31"/>
      <c r="D622" s="16" t="str">
        <f>'Sales Data'!E621</f>
        <v>ED-IND-YJ23T-65</v>
      </c>
      <c r="E622" s="52">
        <f>'Sales Data'!G621</f>
        <v>286</v>
      </c>
      <c r="F622" s="72">
        <f>'Sales Data'!H621</f>
        <v>26</v>
      </c>
      <c r="G622" s="73"/>
      <c r="H622" s="73">
        <f>(InvoiceDetails[[#This Row],[Qty]]*InvoiceDetails[[#This Row],[Unit price]])-InvoiceDetails[[#This Row],[Discount]]</f>
        <v>7436</v>
      </c>
    </row>
    <row r="623" spans="2:8" ht="34.049999999999997" customHeight="1" x14ac:dyDescent="0.3">
      <c r="B623" s="51" t="str">
        <f>'Sales Data'!C622</f>
        <v>INV-2409-620</v>
      </c>
      <c r="C623" s="31"/>
      <c r="D623" s="16" t="str">
        <f>'Sales Data'!E622</f>
        <v>ED-IND-WH81C-41</v>
      </c>
      <c r="E623" s="52">
        <f>'Sales Data'!G622</f>
        <v>241</v>
      </c>
      <c r="F623" s="72">
        <f>'Sales Data'!H622</f>
        <v>22</v>
      </c>
      <c r="G623" s="73"/>
      <c r="H623" s="73">
        <f>(InvoiceDetails[[#This Row],[Qty]]*InvoiceDetails[[#This Row],[Unit price]])-InvoiceDetails[[#This Row],[Discount]]</f>
        <v>5302</v>
      </c>
    </row>
    <row r="624" spans="2:8" ht="34.049999999999997" customHeight="1" x14ac:dyDescent="0.3">
      <c r="B624" s="51" t="str">
        <f>'Sales Data'!C623</f>
        <v>INV-2409-621</v>
      </c>
      <c r="C624" s="31"/>
      <c r="D624" s="16" t="str">
        <f>'Sales Data'!E623</f>
        <v>ED-IND-AJ42M-80</v>
      </c>
      <c r="E624" s="52">
        <f>'Sales Data'!G623</f>
        <v>293</v>
      </c>
      <c r="F624" s="72">
        <f>'Sales Data'!H623</f>
        <v>23</v>
      </c>
      <c r="G624" s="73"/>
      <c r="H624" s="73">
        <f>(InvoiceDetails[[#This Row],[Qty]]*InvoiceDetails[[#This Row],[Unit price]])-InvoiceDetails[[#This Row],[Discount]]</f>
        <v>6739</v>
      </c>
    </row>
    <row r="625" spans="2:8" ht="34.049999999999997" customHeight="1" x14ac:dyDescent="0.3">
      <c r="B625" s="51" t="str">
        <f>'Sales Data'!C624</f>
        <v>INV-2409-622</v>
      </c>
      <c r="C625" s="31"/>
      <c r="D625" s="16" t="str">
        <f>'Sales Data'!E624</f>
        <v>ED-IND-GE56I-06</v>
      </c>
      <c r="E625" s="52">
        <f>'Sales Data'!G624</f>
        <v>237</v>
      </c>
      <c r="F625" s="72">
        <f>'Sales Data'!H624</f>
        <v>27</v>
      </c>
      <c r="G625" s="73"/>
      <c r="H625" s="73">
        <f>(InvoiceDetails[[#This Row],[Qty]]*InvoiceDetails[[#This Row],[Unit price]])-InvoiceDetails[[#This Row],[Discount]]</f>
        <v>6399</v>
      </c>
    </row>
    <row r="626" spans="2:8" ht="34.049999999999997" customHeight="1" x14ac:dyDescent="0.3">
      <c r="B626" s="51" t="str">
        <f>'Sales Data'!C625</f>
        <v>INV-2409-623</v>
      </c>
      <c r="C626" s="31"/>
      <c r="D626" s="16" t="str">
        <f>'Sales Data'!E625</f>
        <v>PC-IND-XB66C-99</v>
      </c>
      <c r="E626" s="52">
        <f>'Sales Data'!G625</f>
        <v>204</v>
      </c>
      <c r="F626" s="72">
        <f>'Sales Data'!H625</f>
        <v>21</v>
      </c>
      <c r="G626" s="73"/>
      <c r="H626" s="73">
        <f>(InvoiceDetails[[#This Row],[Qty]]*InvoiceDetails[[#This Row],[Unit price]])-InvoiceDetails[[#This Row],[Discount]]</f>
        <v>4284</v>
      </c>
    </row>
    <row r="627" spans="2:8" ht="34.049999999999997" customHeight="1" x14ac:dyDescent="0.3">
      <c r="B627" s="51" t="str">
        <f>'Sales Data'!C626</f>
        <v>INV-2409-624</v>
      </c>
      <c r="C627" s="31"/>
      <c r="D627" s="16" t="str">
        <f>'Sales Data'!E626</f>
        <v>ED-IND-KB56F-19</v>
      </c>
      <c r="E627" s="52">
        <f>'Sales Data'!G626</f>
        <v>285</v>
      </c>
      <c r="F627" s="72">
        <f>'Sales Data'!H626</f>
        <v>29</v>
      </c>
      <c r="G627" s="73"/>
      <c r="H627" s="73">
        <f>(InvoiceDetails[[#This Row],[Qty]]*InvoiceDetails[[#This Row],[Unit price]])-InvoiceDetails[[#This Row],[Discount]]</f>
        <v>8265</v>
      </c>
    </row>
    <row r="628" spans="2:8" ht="34.049999999999997" customHeight="1" x14ac:dyDescent="0.3">
      <c r="B628" s="51" t="str">
        <f>'Sales Data'!C627</f>
        <v>INV-2409-625</v>
      </c>
      <c r="C628" s="31"/>
      <c r="D628" s="16" t="str">
        <f>'Sales Data'!E627</f>
        <v>ED-IND-BJ51E-40</v>
      </c>
      <c r="E628" s="52">
        <f>'Sales Data'!G627</f>
        <v>247</v>
      </c>
      <c r="F628" s="72">
        <f>'Sales Data'!H627</f>
        <v>24</v>
      </c>
      <c r="G628" s="73"/>
      <c r="H628" s="73">
        <f>(InvoiceDetails[[#This Row],[Qty]]*InvoiceDetails[[#This Row],[Unit price]])-InvoiceDetails[[#This Row],[Discount]]</f>
        <v>5928</v>
      </c>
    </row>
    <row r="629" spans="2:8" ht="34.049999999999997" customHeight="1" x14ac:dyDescent="0.3">
      <c r="B629" s="51" t="str">
        <f>'Sales Data'!C628</f>
        <v>INV-2409-626</v>
      </c>
      <c r="C629" s="31"/>
      <c r="D629" s="16" t="str">
        <f>'Sales Data'!E628</f>
        <v>ED-IND-ZC49N-93</v>
      </c>
      <c r="E629" s="52">
        <f>'Sales Data'!G628</f>
        <v>227</v>
      </c>
      <c r="F629" s="72">
        <f>'Sales Data'!H628</f>
        <v>22</v>
      </c>
      <c r="G629" s="73"/>
      <c r="H629" s="73">
        <f>(InvoiceDetails[[#This Row],[Qty]]*InvoiceDetails[[#This Row],[Unit price]])-InvoiceDetails[[#This Row],[Discount]]</f>
        <v>4994</v>
      </c>
    </row>
    <row r="630" spans="2:8" ht="34.049999999999997" customHeight="1" x14ac:dyDescent="0.3">
      <c r="B630" s="51" t="str">
        <f>'Sales Data'!C629</f>
        <v>INV-2409-627</v>
      </c>
      <c r="C630" s="31"/>
      <c r="D630" s="16" t="str">
        <f>'Sales Data'!E629</f>
        <v>ED-IND-VC88Q-36</v>
      </c>
      <c r="E630" s="52">
        <f>'Sales Data'!G629</f>
        <v>266</v>
      </c>
      <c r="F630" s="72">
        <f>'Sales Data'!H629</f>
        <v>24</v>
      </c>
      <c r="G630" s="73"/>
      <c r="H630" s="73">
        <f>(InvoiceDetails[[#This Row],[Qty]]*InvoiceDetails[[#This Row],[Unit price]])-InvoiceDetails[[#This Row],[Discount]]</f>
        <v>6384</v>
      </c>
    </row>
    <row r="631" spans="2:8" ht="34.049999999999997" customHeight="1" x14ac:dyDescent="0.3">
      <c r="B631" s="51" t="str">
        <f>'Sales Data'!C630</f>
        <v>INV-2409-628</v>
      </c>
      <c r="C631" s="31"/>
      <c r="D631" s="16" t="str">
        <f>'Sales Data'!E630</f>
        <v>PC-IND-AB58U-04</v>
      </c>
      <c r="E631" s="52">
        <f>'Sales Data'!G630</f>
        <v>296</v>
      </c>
      <c r="F631" s="72">
        <f>'Sales Data'!H630</f>
        <v>22</v>
      </c>
      <c r="G631" s="73"/>
      <c r="H631" s="73">
        <f>(InvoiceDetails[[#This Row],[Qty]]*InvoiceDetails[[#This Row],[Unit price]])-InvoiceDetails[[#This Row],[Discount]]</f>
        <v>6512</v>
      </c>
    </row>
    <row r="632" spans="2:8" ht="34.049999999999997" customHeight="1" x14ac:dyDescent="0.3">
      <c r="B632" s="51" t="str">
        <f>'Sales Data'!C631</f>
        <v>INV-2409-629</v>
      </c>
      <c r="C632" s="31"/>
      <c r="D632" s="16" t="str">
        <f>'Sales Data'!E631</f>
        <v>ED-IND-JJ51X-25</v>
      </c>
      <c r="E632" s="52">
        <f>'Sales Data'!G631</f>
        <v>222</v>
      </c>
      <c r="F632" s="72">
        <f>'Sales Data'!H631</f>
        <v>24</v>
      </c>
      <c r="G632" s="73"/>
      <c r="H632" s="73">
        <f>(InvoiceDetails[[#This Row],[Qty]]*InvoiceDetails[[#This Row],[Unit price]])-InvoiceDetails[[#This Row],[Discount]]</f>
        <v>5328</v>
      </c>
    </row>
    <row r="633" spans="2:8" ht="34.049999999999997" customHeight="1" x14ac:dyDescent="0.3">
      <c r="B633" s="51" t="str">
        <f>'Sales Data'!C632</f>
        <v>INV-2409-630</v>
      </c>
      <c r="C633" s="31"/>
      <c r="D633" s="16" t="str">
        <f>'Sales Data'!E632</f>
        <v>ED-IND-FV97V-50</v>
      </c>
      <c r="E633" s="52">
        <f>'Sales Data'!G632</f>
        <v>234</v>
      </c>
      <c r="F633" s="72">
        <f>'Sales Data'!H632</f>
        <v>23</v>
      </c>
      <c r="G633" s="73"/>
      <c r="H633" s="73">
        <f>(InvoiceDetails[[#This Row],[Qty]]*InvoiceDetails[[#This Row],[Unit price]])-InvoiceDetails[[#This Row],[Discount]]</f>
        <v>5382</v>
      </c>
    </row>
    <row r="634" spans="2:8" ht="34.049999999999997" customHeight="1" x14ac:dyDescent="0.3">
      <c r="B634" s="51" t="str">
        <f>'Sales Data'!C633</f>
        <v>INV-2409-631</v>
      </c>
      <c r="C634" s="31"/>
      <c r="D634" s="16" t="str">
        <f>'Sales Data'!E633</f>
        <v>ED-IND-HG10P-10</v>
      </c>
      <c r="E634" s="52">
        <f>'Sales Data'!G633</f>
        <v>261</v>
      </c>
      <c r="F634" s="72">
        <f>'Sales Data'!H633</f>
        <v>26</v>
      </c>
      <c r="G634" s="73"/>
      <c r="H634" s="73">
        <f>(InvoiceDetails[[#This Row],[Qty]]*InvoiceDetails[[#This Row],[Unit price]])-InvoiceDetails[[#This Row],[Discount]]</f>
        <v>6786</v>
      </c>
    </row>
    <row r="635" spans="2:8" ht="34.049999999999997" customHeight="1" x14ac:dyDescent="0.3">
      <c r="B635" s="51" t="str">
        <f>'Sales Data'!C634</f>
        <v>INV-2409-632</v>
      </c>
      <c r="C635" s="31"/>
      <c r="D635" s="16" t="str">
        <f>'Sales Data'!E634</f>
        <v>ED-IND-GN25E-46</v>
      </c>
      <c r="E635" s="52">
        <f>'Sales Data'!G634</f>
        <v>290</v>
      </c>
      <c r="F635" s="72">
        <f>'Sales Data'!H634</f>
        <v>25</v>
      </c>
      <c r="G635" s="73"/>
      <c r="H635" s="73">
        <f>(InvoiceDetails[[#This Row],[Qty]]*InvoiceDetails[[#This Row],[Unit price]])-InvoiceDetails[[#This Row],[Discount]]</f>
        <v>7250</v>
      </c>
    </row>
    <row r="636" spans="2:8" ht="34.049999999999997" customHeight="1" x14ac:dyDescent="0.3">
      <c r="B636" s="51" t="str">
        <f>'Sales Data'!C635</f>
        <v>INV-2409-633</v>
      </c>
      <c r="C636" s="31"/>
      <c r="D636" s="16" t="str">
        <f>'Sales Data'!E635</f>
        <v>PC-IND-MP19Z-95</v>
      </c>
      <c r="E636" s="52">
        <f>'Sales Data'!G635</f>
        <v>202</v>
      </c>
      <c r="F636" s="72">
        <f>'Sales Data'!H635</f>
        <v>31</v>
      </c>
      <c r="G636" s="73"/>
      <c r="H636" s="73">
        <f>(InvoiceDetails[[#This Row],[Qty]]*InvoiceDetails[[#This Row],[Unit price]])-InvoiceDetails[[#This Row],[Discount]]</f>
        <v>6262</v>
      </c>
    </row>
    <row r="637" spans="2:8" ht="34.049999999999997" customHeight="1" x14ac:dyDescent="0.3">
      <c r="B637" s="51" t="str">
        <f>'Sales Data'!C636</f>
        <v>INV-2409-634</v>
      </c>
      <c r="C637" s="31"/>
      <c r="D637" s="16" t="str">
        <f>'Sales Data'!E636</f>
        <v>ED-IND-IL14I-15</v>
      </c>
      <c r="E637" s="52">
        <f>'Sales Data'!G636</f>
        <v>272</v>
      </c>
      <c r="F637" s="72">
        <f>'Sales Data'!H636</f>
        <v>22</v>
      </c>
      <c r="G637" s="73"/>
      <c r="H637" s="73">
        <f>(InvoiceDetails[[#This Row],[Qty]]*InvoiceDetails[[#This Row],[Unit price]])-InvoiceDetails[[#This Row],[Discount]]</f>
        <v>5984</v>
      </c>
    </row>
    <row r="638" spans="2:8" ht="34.049999999999997" customHeight="1" x14ac:dyDescent="0.3">
      <c r="B638" s="51" t="str">
        <f>'Sales Data'!C637</f>
        <v>INV-2409-635</v>
      </c>
      <c r="C638" s="31"/>
      <c r="D638" s="16" t="str">
        <f>'Sales Data'!E637</f>
        <v>ED-IND-KM89P-01</v>
      </c>
      <c r="E638" s="52">
        <f>'Sales Data'!G637</f>
        <v>244</v>
      </c>
      <c r="F638" s="72">
        <f>'Sales Data'!H637</f>
        <v>23</v>
      </c>
      <c r="G638" s="73"/>
      <c r="H638" s="73">
        <f>(InvoiceDetails[[#This Row],[Qty]]*InvoiceDetails[[#This Row],[Unit price]])-InvoiceDetails[[#This Row],[Discount]]</f>
        <v>5612</v>
      </c>
    </row>
    <row r="639" spans="2:8" ht="34.049999999999997" customHeight="1" x14ac:dyDescent="0.3">
      <c r="B639" s="51" t="str">
        <f>'Sales Data'!C638</f>
        <v>INV-2409-636</v>
      </c>
      <c r="C639" s="31"/>
      <c r="D639" s="16" t="str">
        <f>'Sales Data'!E638</f>
        <v>ED-IND-HP33G-24</v>
      </c>
      <c r="E639" s="52">
        <f>'Sales Data'!G638</f>
        <v>275</v>
      </c>
      <c r="F639" s="72">
        <f>'Sales Data'!H638</f>
        <v>28</v>
      </c>
      <c r="G639" s="73"/>
      <c r="H639" s="73">
        <f>(InvoiceDetails[[#This Row],[Qty]]*InvoiceDetails[[#This Row],[Unit price]])-InvoiceDetails[[#This Row],[Discount]]</f>
        <v>7700</v>
      </c>
    </row>
    <row r="640" spans="2:8" ht="34.049999999999997" customHeight="1" x14ac:dyDescent="0.3">
      <c r="B640" s="51" t="str">
        <f>'Sales Data'!C639</f>
        <v>INV-2410-637</v>
      </c>
      <c r="C640" s="31"/>
      <c r="D640" s="16" t="str">
        <f>'Sales Data'!E639</f>
        <v>ED-IND-ZF18V-17</v>
      </c>
      <c r="E640" s="52">
        <f>'Sales Data'!G639</f>
        <v>226</v>
      </c>
      <c r="F640" s="72">
        <f>'Sales Data'!H639</f>
        <v>25</v>
      </c>
      <c r="G640" s="73"/>
      <c r="H640" s="73">
        <f>(InvoiceDetails[[#This Row],[Qty]]*InvoiceDetails[[#This Row],[Unit price]])-InvoiceDetails[[#This Row],[Discount]]</f>
        <v>5650</v>
      </c>
    </row>
    <row r="641" spans="2:8" ht="34.049999999999997" customHeight="1" x14ac:dyDescent="0.3">
      <c r="B641" s="51" t="str">
        <f>'Sales Data'!C640</f>
        <v>INV-2410-638</v>
      </c>
      <c r="C641" s="31"/>
      <c r="D641" s="16" t="str">
        <f>'Sales Data'!E640</f>
        <v>ED-IND-OZ76J-01</v>
      </c>
      <c r="E641" s="52">
        <f ca="1">'Sales Data'!G640</f>
        <v>508</v>
      </c>
      <c r="F641" s="72">
        <f>'Sales Data'!H640</f>
        <v>31</v>
      </c>
      <c r="G641" s="73"/>
      <c r="H641" s="73">
        <f ca="1">(InvoiceDetails[[#This Row],[Qty]]*InvoiceDetails[[#This Row],[Unit price]])-InvoiceDetails[[#This Row],[Discount]]</f>
        <v>15748</v>
      </c>
    </row>
    <row r="642" spans="2:8" ht="34.049999999999997" customHeight="1" x14ac:dyDescent="0.3">
      <c r="B642" s="51" t="str">
        <f>'Sales Data'!C641</f>
        <v>INV-2410-639</v>
      </c>
      <c r="C642" s="31"/>
      <c r="D642" s="16" t="str">
        <f>'Sales Data'!E641</f>
        <v>PC-IND-ZH64L-21</v>
      </c>
      <c r="E642" s="52">
        <f ca="1">'Sales Data'!G641</f>
        <v>430</v>
      </c>
      <c r="F642" s="72">
        <f>'Sales Data'!H641</f>
        <v>26</v>
      </c>
      <c r="G642" s="73"/>
      <c r="H642" s="73">
        <f ca="1">(InvoiceDetails[[#This Row],[Qty]]*InvoiceDetails[[#This Row],[Unit price]])-InvoiceDetails[[#This Row],[Discount]]</f>
        <v>11180</v>
      </c>
    </row>
    <row r="643" spans="2:8" ht="34.049999999999997" customHeight="1" x14ac:dyDescent="0.3">
      <c r="B643" s="51" t="str">
        <f>'Sales Data'!C642</f>
        <v>INV-2410-640</v>
      </c>
      <c r="C643" s="31"/>
      <c r="D643" s="16" t="str">
        <f>'Sales Data'!E642</f>
        <v>ED-IND-XF13Q-10</v>
      </c>
      <c r="E643" s="52">
        <f ca="1">'Sales Data'!G642</f>
        <v>453</v>
      </c>
      <c r="F643" s="72">
        <f>'Sales Data'!H642</f>
        <v>30</v>
      </c>
      <c r="G643" s="73"/>
      <c r="H643" s="73">
        <f ca="1">(InvoiceDetails[[#This Row],[Qty]]*InvoiceDetails[[#This Row],[Unit price]])-InvoiceDetails[[#This Row],[Discount]]</f>
        <v>13590</v>
      </c>
    </row>
    <row r="644" spans="2:8" ht="34.049999999999997" customHeight="1" x14ac:dyDescent="0.3">
      <c r="B644" s="51" t="str">
        <f>'Sales Data'!C643</f>
        <v>INV-2410-641</v>
      </c>
      <c r="C644" s="31"/>
      <c r="D644" s="16" t="str">
        <f>'Sales Data'!E643</f>
        <v>ED-IND-BM20C-78</v>
      </c>
      <c r="E644" s="52">
        <f ca="1">'Sales Data'!G643</f>
        <v>494</v>
      </c>
      <c r="F644" s="72">
        <f>'Sales Data'!H643</f>
        <v>30</v>
      </c>
      <c r="G644" s="73"/>
      <c r="H644" s="73">
        <f ca="1">(InvoiceDetails[[#This Row],[Qty]]*InvoiceDetails[[#This Row],[Unit price]])-InvoiceDetails[[#This Row],[Discount]]</f>
        <v>14820</v>
      </c>
    </row>
    <row r="645" spans="2:8" ht="34.049999999999997" customHeight="1" x14ac:dyDescent="0.3">
      <c r="B645" s="51" t="str">
        <f>'Sales Data'!C644</f>
        <v>INV-2410-642</v>
      </c>
      <c r="C645" s="31"/>
      <c r="D645" s="16" t="str">
        <f>'Sales Data'!E644</f>
        <v>PC-IND-EP27E-20</v>
      </c>
      <c r="E645" s="52">
        <f ca="1">'Sales Data'!G644</f>
        <v>423</v>
      </c>
      <c r="F645" s="72">
        <f>'Sales Data'!H644</f>
        <v>28</v>
      </c>
      <c r="G645" s="73"/>
      <c r="H645" s="73">
        <f ca="1">(InvoiceDetails[[#This Row],[Qty]]*InvoiceDetails[[#This Row],[Unit price]])-InvoiceDetails[[#This Row],[Discount]]</f>
        <v>11844</v>
      </c>
    </row>
    <row r="646" spans="2:8" ht="34.049999999999997" customHeight="1" x14ac:dyDescent="0.3">
      <c r="B646" s="51" t="str">
        <f>'Sales Data'!C645</f>
        <v>INV-2410-643</v>
      </c>
      <c r="C646" s="31"/>
      <c r="D646" s="16" t="str">
        <f>'Sales Data'!E645</f>
        <v>ED-IND-FV18L-32</v>
      </c>
      <c r="E646" s="52">
        <f ca="1">'Sales Data'!G645</f>
        <v>388</v>
      </c>
      <c r="F646" s="72">
        <f>'Sales Data'!H645</f>
        <v>26</v>
      </c>
      <c r="G646" s="73"/>
      <c r="H646" s="73">
        <f ca="1">(InvoiceDetails[[#This Row],[Qty]]*InvoiceDetails[[#This Row],[Unit price]])-InvoiceDetails[[#This Row],[Discount]]</f>
        <v>10088</v>
      </c>
    </row>
    <row r="647" spans="2:8" ht="34.049999999999997" customHeight="1" x14ac:dyDescent="0.3">
      <c r="B647" s="51" t="str">
        <f>'Sales Data'!C646</f>
        <v>INV-2410-644</v>
      </c>
      <c r="C647" s="31"/>
      <c r="D647" s="16" t="str">
        <f>'Sales Data'!E646</f>
        <v>PC-IND-IC10Z-85</v>
      </c>
      <c r="E647" s="52">
        <f ca="1">'Sales Data'!G646</f>
        <v>303</v>
      </c>
      <c r="F647" s="72">
        <f>'Sales Data'!H646</f>
        <v>28</v>
      </c>
      <c r="G647" s="73"/>
      <c r="H647" s="73">
        <f ca="1">(InvoiceDetails[[#This Row],[Qty]]*InvoiceDetails[[#This Row],[Unit price]])-InvoiceDetails[[#This Row],[Discount]]</f>
        <v>8484</v>
      </c>
    </row>
    <row r="648" spans="2:8" ht="34.049999999999997" customHeight="1" x14ac:dyDescent="0.3">
      <c r="B648" s="51" t="str">
        <f>'Sales Data'!C647</f>
        <v>INV-2410-645</v>
      </c>
      <c r="C648" s="31"/>
      <c r="D648" s="16" t="str">
        <f>'Sales Data'!E647</f>
        <v>ED-IND-ZK46V-70</v>
      </c>
      <c r="E648" s="52">
        <f ca="1">'Sales Data'!G647</f>
        <v>447</v>
      </c>
      <c r="F648" s="72">
        <f>'Sales Data'!H647</f>
        <v>31</v>
      </c>
      <c r="G648" s="73"/>
      <c r="H648" s="73">
        <f ca="1">(InvoiceDetails[[#This Row],[Qty]]*InvoiceDetails[[#This Row],[Unit price]])-InvoiceDetails[[#This Row],[Discount]]</f>
        <v>13857</v>
      </c>
    </row>
    <row r="649" spans="2:8" ht="34.049999999999997" customHeight="1" x14ac:dyDescent="0.3">
      <c r="B649" s="51" t="str">
        <f>'Sales Data'!C648</f>
        <v>INV-2410-646</v>
      </c>
      <c r="C649" s="31"/>
      <c r="D649" s="16" t="str">
        <f>'Sales Data'!E648</f>
        <v>ED-IND-LB73Y-47</v>
      </c>
      <c r="E649" s="52">
        <f ca="1">'Sales Data'!G648</f>
        <v>335</v>
      </c>
      <c r="F649" s="72">
        <f>'Sales Data'!H648</f>
        <v>21</v>
      </c>
      <c r="G649" s="73"/>
      <c r="H649" s="73">
        <f ca="1">(InvoiceDetails[[#This Row],[Qty]]*InvoiceDetails[[#This Row],[Unit price]])-InvoiceDetails[[#This Row],[Discount]]</f>
        <v>7035</v>
      </c>
    </row>
    <row r="650" spans="2:8" ht="34.049999999999997" customHeight="1" x14ac:dyDescent="0.3">
      <c r="B650" s="51" t="str">
        <f>'Sales Data'!C649</f>
        <v>INV-2410-647</v>
      </c>
      <c r="C650" s="31"/>
      <c r="D650" s="16" t="str">
        <f>'Sales Data'!E649</f>
        <v>PC-IND-ZZ90Z-21</v>
      </c>
      <c r="E650" s="52">
        <f ca="1">'Sales Data'!G649</f>
        <v>396</v>
      </c>
      <c r="F650" s="72">
        <f>'Sales Data'!H649</f>
        <v>21</v>
      </c>
      <c r="G650" s="73"/>
      <c r="H650" s="73">
        <f ca="1">(InvoiceDetails[[#This Row],[Qty]]*InvoiceDetails[[#This Row],[Unit price]])-InvoiceDetails[[#This Row],[Discount]]</f>
        <v>8316</v>
      </c>
    </row>
    <row r="651" spans="2:8" ht="34.049999999999997" customHeight="1" x14ac:dyDescent="0.3">
      <c r="B651" s="51" t="str">
        <f>'Sales Data'!C650</f>
        <v>INV-2410-648</v>
      </c>
      <c r="C651" s="31"/>
      <c r="D651" s="16" t="str">
        <f>'Sales Data'!E650</f>
        <v>ED-IND-YY93P-18</v>
      </c>
      <c r="E651" s="52">
        <f ca="1">'Sales Data'!G650</f>
        <v>492</v>
      </c>
      <c r="F651" s="72">
        <f>'Sales Data'!H650</f>
        <v>29</v>
      </c>
      <c r="G651" s="73"/>
      <c r="H651" s="73">
        <f ca="1">(InvoiceDetails[[#This Row],[Qty]]*InvoiceDetails[[#This Row],[Unit price]])-InvoiceDetails[[#This Row],[Discount]]</f>
        <v>14268</v>
      </c>
    </row>
    <row r="652" spans="2:8" ht="34.049999999999997" customHeight="1" x14ac:dyDescent="0.3">
      <c r="B652" s="51" t="str">
        <f>'Sales Data'!C651</f>
        <v>INV-2410-649</v>
      </c>
      <c r="C652" s="31"/>
      <c r="D652" s="16" t="str">
        <f>'Sales Data'!E651</f>
        <v>ED-IND-RU51P-79</v>
      </c>
      <c r="E652" s="52">
        <f ca="1">'Sales Data'!G651</f>
        <v>278</v>
      </c>
      <c r="F652" s="72">
        <f>'Sales Data'!H651</f>
        <v>25</v>
      </c>
      <c r="G652" s="73"/>
      <c r="H652" s="73">
        <f ca="1">(InvoiceDetails[[#This Row],[Qty]]*InvoiceDetails[[#This Row],[Unit price]])-InvoiceDetails[[#This Row],[Discount]]</f>
        <v>6950</v>
      </c>
    </row>
    <row r="653" spans="2:8" ht="34.049999999999997" customHeight="1" x14ac:dyDescent="0.3">
      <c r="B653" s="51" t="str">
        <f>'Sales Data'!C652</f>
        <v>INV-2410-650</v>
      </c>
      <c r="C653" s="31"/>
      <c r="D653" s="16" t="str">
        <f>'Sales Data'!E652</f>
        <v>ED-IND-SZ28G-71</v>
      </c>
      <c r="E653" s="52">
        <f ca="1">'Sales Data'!G652</f>
        <v>382</v>
      </c>
      <c r="F653" s="72">
        <f>'Sales Data'!H652</f>
        <v>28</v>
      </c>
      <c r="G653" s="73"/>
      <c r="H653" s="73">
        <f ca="1">(InvoiceDetails[[#This Row],[Qty]]*InvoiceDetails[[#This Row],[Unit price]])-InvoiceDetails[[#This Row],[Discount]]</f>
        <v>10696</v>
      </c>
    </row>
    <row r="654" spans="2:8" ht="34.049999999999997" customHeight="1" x14ac:dyDescent="0.3">
      <c r="B654" s="51" t="str">
        <f>'Sales Data'!C653</f>
        <v>INV-2410-651</v>
      </c>
      <c r="C654" s="31"/>
      <c r="D654" s="16" t="str">
        <f>'Sales Data'!E653</f>
        <v>ED-IND-FZ14N-22</v>
      </c>
      <c r="E654" s="52">
        <f ca="1">'Sales Data'!G653</f>
        <v>308</v>
      </c>
      <c r="F654" s="72">
        <f>'Sales Data'!H653</f>
        <v>30</v>
      </c>
      <c r="G654" s="73"/>
      <c r="H654" s="73">
        <f ca="1">(InvoiceDetails[[#This Row],[Qty]]*InvoiceDetails[[#This Row],[Unit price]])-InvoiceDetails[[#This Row],[Discount]]</f>
        <v>9240</v>
      </c>
    </row>
    <row r="655" spans="2:8" ht="34.049999999999997" customHeight="1" x14ac:dyDescent="0.3">
      <c r="B655" s="51" t="str">
        <f>'Sales Data'!C654</f>
        <v>INV-2410-652</v>
      </c>
      <c r="C655" s="31"/>
      <c r="D655" s="16" t="str">
        <f>'Sales Data'!E654</f>
        <v>PC-IND-IV53D-37</v>
      </c>
      <c r="E655" s="52">
        <f ca="1">'Sales Data'!G654</f>
        <v>351</v>
      </c>
      <c r="F655" s="72">
        <f>'Sales Data'!H654</f>
        <v>21</v>
      </c>
      <c r="G655" s="73"/>
      <c r="H655" s="73">
        <f ca="1">(InvoiceDetails[[#This Row],[Qty]]*InvoiceDetails[[#This Row],[Unit price]])-InvoiceDetails[[#This Row],[Discount]]</f>
        <v>7371</v>
      </c>
    </row>
    <row r="656" spans="2:8" ht="34.049999999999997" customHeight="1" x14ac:dyDescent="0.3">
      <c r="B656" s="51" t="str">
        <f>'Sales Data'!C655</f>
        <v>INV-2410-653</v>
      </c>
      <c r="C656" s="31"/>
      <c r="D656" s="16" t="str">
        <f>'Sales Data'!E655</f>
        <v>PC-IND-WX72Z-42</v>
      </c>
      <c r="E656" s="52">
        <f ca="1">'Sales Data'!G655</f>
        <v>419</v>
      </c>
      <c r="F656" s="72">
        <f>'Sales Data'!H655</f>
        <v>31</v>
      </c>
      <c r="G656" s="73"/>
      <c r="H656" s="73">
        <f ca="1">(InvoiceDetails[[#This Row],[Qty]]*InvoiceDetails[[#This Row],[Unit price]])-InvoiceDetails[[#This Row],[Discount]]</f>
        <v>12989</v>
      </c>
    </row>
    <row r="657" spans="2:8" ht="34.049999999999997" customHeight="1" x14ac:dyDescent="0.3">
      <c r="B657" s="51" t="str">
        <f>'Sales Data'!C656</f>
        <v>INV-2410-654</v>
      </c>
      <c r="C657" s="31"/>
      <c r="D657" s="16" t="str">
        <f>'Sales Data'!E656</f>
        <v>ED-IND-ZE20D-49</v>
      </c>
      <c r="E657" s="52">
        <f ca="1">'Sales Data'!G656</f>
        <v>420</v>
      </c>
      <c r="F657" s="72">
        <f>'Sales Data'!H656</f>
        <v>21</v>
      </c>
      <c r="G657" s="73"/>
      <c r="H657" s="73">
        <f ca="1">(InvoiceDetails[[#This Row],[Qty]]*InvoiceDetails[[#This Row],[Unit price]])-InvoiceDetails[[#This Row],[Discount]]</f>
        <v>8820</v>
      </c>
    </row>
    <row r="658" spans="2:8" ht="34.049999999999997" customHeight="1" x14ac:dyDescent="0.3">
      <c r="B658" s="51" t="str">
        <f>'Sales Data'!C657</f>
        <v>INV-2410-655</v>
      </c>
      <c r="C658" s="31"/>
      <c r="D658" s="16" t="str">
        <f>'Sales Data'!E657</f>
        <v>ED-IND-NE66V-68</v>
      </c>
      <c r="E658" s="52">
        <f ca="1">'Sales Data'!G657</f>
        <v>282</v>
      </c>
      <c r="F658" s="72">
        <f>'Sales Data'!H657</f>
        <v>27</v>
      </c>
      <c r="G658" s="73"/>
      <c r="H658" s="73">
        <f ca="1">(InvoiceDetails[[#This Row],[Qty]]*InvoiceDetails[[#This Row],[Unit price]])-InvoiceDetails[[#This Row],[Discount]]</f>
        <v>7614</v>
      </c>
    </row>
    <row r="659" spans="2:8" ht="34.049999999999997" customHeight="1" x14ac:dyDescent="0.3">
      <c r="B659" s="51" t="str">
        <f>'Sales Data'!C658</f>
        <v>INV-2410-656</v>
      </c>
      <c r="C659" s="31"/>
      <c r="D659" s="16" t="str">
        <f>'Sales Data'!E658</f>
        <v>PC-IND-VI92A-48</v>
      </c>
      <c r="E659" s="52">
        <f ca="1">'Sales Data'!G658</f>
        <v>303</v>
      </c>
      <c r="F659" s="72">
        <f>'Sales Data'!H658</f>
        <v>30</v>
      </c>
      <c r="G659" s="73"/>
      <c r="H659" s="73">
        <f ca="1">(InvoiceDetails[[#This Row],[Qty]]*InvoiceDetails[[#This Row],[Unit price]])-InvoiceDetails[[#This Row],[Discount]]</f>
        <v>9090</v>
      </c>
    </row>
    <row r="660" spans="2:8" ht="34.049999999999997" customHeight="1" x14ac:dyDescent="0.3">
      <c r="B660" s="51" t="str">
        <f>'Sales Data'!C659</f>
        <v>INV-2410-657</v>
      </c>
      <c r="C660" s="31"/>
      <c r="D660" s="16" t="str">
        <f>'Sales Data'!E659</f>
        <v>PC-IND-FO11L-85</v>
      </c>
      <c r="E660" s="52">
        <f ca="1">'Sales Data'!G659</f>
        <v>341</v>
      </c>
      <c r="F660" s="72">
        <f>'Sales Data'!H659</f>
        <v>28</v>
      </c>
      <c r="G660" s="73"/>
      <c r="H660" s="73">
        <f ca="1">(InvoiceDetails[[#This Row],[Qty]]*InvoiceDetails[[#This Row],[Unit price]])-InvoiceDetails[[#This Row],[Discount]]</f>
        <v>9548</v>
      </c>
    </row>
    <row r="661" spans="2:8" ht="34.049999999999997" customHeight="1" x14ac:dyDescent="0.3">
      <c r="B661" s="51" t="str">
        <f>'Sales Data'!C660</f>
        <v>INV-2410-658</v>
      </c>
      <c r="C661" s="31"/>
      <c r="D661" s="16" t="str">
        <f>'Sales Data'!E660</f>
        <v>PC-IND-HV89O-63</v>
      </c>
      <c r="E661" s="52">
        <f ca="1">'Sales Data'!G660</f>
        <v>317</v>
      </c>
      <c r="F661" s="72">
        <f>'Sales Data'!H660</f>
        <v>28</v>
      </c>
      <c r="G661" s="73"/>
      <c r="H661" s="73">
        <f ca="1">(InvoiceDetails[[#This Row],[Qty]]*InvoiceDetails[[#This Row],[Unit price]])-InvoiceDetails[[#This Row],[Discount]]</f>
        <v>8876</v>
      </c>
    </row>
    <row r="662" spans="2:8" ht="34.049999999999997" customHeight="1" x14ac:dyDescent="0.3">
      <c r="B662" s="51" t="str">
        <f>'Sales Data'!C661</f>
        <v>INV-2410-659</v>
      </c>
      <c r="C662" s="31"/>
      <c r="D662" s="16" t="str">
        <f>'Sales Data'!E661</f>
        <v>PC-IND-QL67X-38</v>
      </c>
      <c r="E662" s="52">
        <f ca="1">'Sales Data'!G661</f>
        <v>486</v>
      </c>
      <c r="F662" s="72">
        <f>'Sales Data'!H661</f>
        <v>31</v>
      </c>
      <c r="G662" s="73"/>
      <c r="H662" s="73">
        <f ca="1">(InvoiceDetails[[#This Row],[Qty]]*InvoiceDetails[[#This Row],[Unit price]])-InvoiceDetails[[#This Row],[Discount]]</f>
        <v>15066</v>
      </c>
    </row>
    <row r="663" spans="2:8" ht="34.049999999999997" customHeight="1" x14ac:dyDescent="0.3">
      <c r="B663" s="51" t="str">
        <f>'Sales Data'!C662</f>
        <v>INV-2410-660</v>
      </c>
      <c r="C663" s="31"/>
      <c r="D663" s="16" t="str">
        <f>'Sales Data'!E662</f>
        <v>PC-IND-YS75Q-06</v>
      </c>
      <c r="E663" s="52">
        <f ca="1">'Sales Data'!G662</f>
        <v>388</v>
      </c>
      <c r="F663" s="72">
        <f>'Sales Data'!H662</f>
        <v>27</v>
      </c>
      <c r="G663" s="73"/>
      <c r="H663" s="73">
        <f ca="1">(InvoiceDetails[[#This Row],[Qty]]*InvoiceDetails[[#This Row],[Unit price]])-InvoiceDetails[[#This Row],[Discount]]</f>
        <v>10476</v>
      </c>
    </row>
    <row r="664" spans="2:8" ht="34.049999999999997" customHeight="1" x14ac:dyDescent="0.3">
      <c r="B664" s="51" t="str">
        <f>'Sales Data'!C663</f>
        <v>INV-2410-661</v>
      </c>
      <c r="C664" s="31"/>
      <c r="D664" s="16" t="str">
        <f>'Sales Data'!E663</f>
        <v>ED-IND-GU52F-58</v>
      </c>
      <c r="E664" s="52">
        <f ca="1">'Sales Data'!G663</f>
        <v>456</v>
      </c>
      <c r="F664" s="72">
        <f>'Sales Data'!H663</f>
        <v>27</v>
      </c>
      <c r="G664" s="73"/>
      <c r="H664" s="73">
        <f ca="1">(InvoiceDetails[[#This Row],[Qty]]*InvoiceDetails[[#This Row],[Unit price]])-InvoiceDetails[[#This Row],[Discount]]</f>
        <v>12312</v>
      </c>
    </row>
    <row r="665" spans="2:8" ht="34.049999999999997" customHeight="1" x14ac:dyDescent="0.3">
      <c r="B665" s="51" t="str">
        <f>'Sales Data'!C664</f>
        <v>INV-2410-662</v>
      </c>
      <c r="C665" s="31"/>
      <c r="D665" s="16" t="str">
        <f>'Sales Data'!E664</f>
        <v>ED-IND-IK80Q-92</v>
      </c>
      <c r="E665" s="52">
        <f ca="1">'Sales Data'!G664</f>
        <v>398</v>
      </c>
      <c r="F665" s="72">
        <f>'Sales Data'!H664</f>
        <v>27</v>
      </c>
      <c r="G665" s="73"/>
      <c r="H665" s="73">
        <f ca="1">(InvoiceDetails[[#This Row],[Qty]]*InvoiceDetails[[#This Row],[Unit price]])-InvoiceDetails[[#This Row],[Discount]]</f>
        <v>10746</v>
      </c>
    </row>
    <row r="666" spans="2:8" ht="34.049999999999997" customHeight="1" x14ac:dyDescent="0.3">
      <c r="B666" s="51" t="str">
        <f>'Sales Data'!C665</f>
        <v>INV-2410-663</v>
      </c>
      <c r="C666" s="31"/>
      <c r="D666" s="16" t="str">
        <f>'Sales Data'!E665</f>
        <v>PC-IND-ER87N-22</v>
      </c>
      <c r="E666" s="52">
        <f ca="1">'Sales Data'!G665</f>
        <v>425</v>
      </c>
      <c r="F666" s="72">
        <f>'Sales Data'!H665</f>
        <v>30</v>
      </c>
      <c r="G666" s="73"/>
      <c r="H666" s="73">
        <f ca="1">(InvoiceDetails[[#This Row],[Qty]]*InvoiceDetails[[#This Row],[Unit price]])-InvoiceDetails[[#This Row],[Discount]]</f>
        <v>12750</v>
      </c>
    </row>
    <row r="667" spans="2:8" ht="34.049999999999997" customHeight="1" x14ac:dyDescent="0.3">
      <c r="B667" s="51" t="str">
        <f>'Sales Data'!C666</f>
        <v>INV-2410-664</v>
      </c>
      <c r="C667" s="31"/>
      <c r="D667" s="16" t="str">
        <f>'Sales Data'!E666</f>
        <v>ED-IND-JH60Z-43</v>
      </c>
      <c r="E667" s="52">
        <f ca="1">'Sales Data'!G666</f>
        <v>381</v>
      </c>
      <c r="F667" s="72">
        <f>'Sales Data'!H666</f>
        <v>28</v>
      </c>
      <c r="G667" s="73"/>
      <c r="H667" s="73">
        <f ca="1">(InvoiceDetails[[#This Row],[Qty]]*InvoiceDetails[[#This Row],[Unit price]])-InvoiceDetails[[#This Row],[Discount]]</f>
        <v>10668</v>
      </c>
    </row>
    <row r="668" spans="2:8" ht="34.049999999999997" customHeight="1" x14ac:dyDescent="0.3">
      <c r="B668" s="51" t="str">
        <f>'Sales Data'!C667</f>
        <v>INV-2410-665</v>
      </c>
      <c r="C668" s="31"/>
      <c r="D668" s="16" t="str">
        <f>'Sales Data'!E667</f>
        <v>PC-IND-NQ81R-23</v>
      </c>
      <c r="E668" s="52">
        <f ca="1">'Sales Data'!G667</f>
        <v>386</v>
      </c>
      <c r="F668" s="72">
        <f>'Sales Data'!H667</f>
        <v>25</v>
      </c>
      <c r="G668" s="73"/>
      <c r="H668" s="73">
        <f ca="1">(InvoiceDetails[[#This Row],[Qty]]*InvoiceDetails[[#This Row],[Unit price]])-InvoiceDetails[[#This Row],[Discount]]</f>
        <v>9650</v>
      </c>
    </row>
    <row r="669" spans="2:8" ht="34.049999999999997" customHeight="1" x14ac:dyDescent="0.3">
      <c r="B669" s="51" t="str">
        <f>'Sales Data'!C668</f>
        <v>INV-2410-666</v>
      </c>
      <c r="C669" s="31"/>
      <c r="D669" s="16" t="str">
        <f>'Sales Data'!E668</f>
        <v>ED-IND-CD47X-51</v>
      </c>
      <c r="E669" s="52">
        <f ca="1">'Sales Data'!G668</f>
        <v>302</v>
      </c>
      <c r="F669" s="72">
        <f>'Sales Data'!H668</f>
        <v>27</v>
      </c>
      <c r="G669" s="73"/>
      <c r="H669" s="73">
        <f ca="1">(InvoiceDetails[[#This Row],[Qty]]*InvoiceDetails[[#This Row],[Unit price]])-InvoiceDetails[[#This Row],[Discount]]</f>
        <v>8154</v>
      </c>
    </row>
    <row r="670" spans="2:8" ht="34.049999999999997" customHeight="1" x14ac:dyDescent="0.3">
      <c r="B670" s="51" t="str">
        <f>'Sales Data'!C669</f>
        <v>INV-2410-667</v>
      </c>
      <c r="C670" s="31"/>
      <c r="D670" s="16" t="str">
        <f>'Sales Data'!E669</f>
        <v>ED-IND-QV43B-56</v>
      </c>
      <c r="E670" s="52">
        <f ca="1">'Sales Data'!G669</f>
        <v>471</v>
      </c>
      <c r="F670" s="72">
        <f>'Sales Data'!H669</f>
        <v>23</v>
      </c>
      <c r="G670" s="73"/>
      <c r="H670" s="73">
        <f ca="1">(InvoiceDetails[[#This Row],[Qty]]*InvoiceDetails[[#This Row],[Unit price]])-InvoiceDetails[[#This Row],[Discount]]</f>
        <v>10833</v>
      </c>
    </row>
    <row r="671" spans="2:8" ht="34.049999999999997" customHeight="1" x14ac:dyDescent="0.3">
      <c r="B671" s="51" t="str">
        <f>'Sales Data'!C670</f>
        <v>INV-2411-668</v>
      </c>
      <c r="C671" s="31"/>
      <c r="D671" s="16" t="str">
        <f>'Sales Data'!E670</f>
        <v>ED-IND-ZW59A-38</v>
      </c>
      <c r="E671" s="52">
        <f ca="1">'Sales Data'!G670</f>
        <v>357</v>
      </c>
      <c r="F671" s="72">
        <f>'Sales Data'!H670</f>
        <v>23</v>
      </c>
      <c r="G671" s="73"/>
      <c r="H671" s="73">
        <f ca="1">(InvoiceDetails[[#This Row],[Qty]]*InvoiceDetails[[#This Row],[Unit price]])-InvoiceDetails[[#This Row],[Discount]]</f>
        <v>8211</v>
      </c>
    </row>
    <row r="672" spans="2:8" ht="34.049999999999997" customHeight="1" x14ac:dyDescent="0.3">
      <c r="B672" s="51" t="str">
        <f>'Sales Data'!C671</f>
        <v>INV-2411-669</v>
      </c>
      <c r="C672" s="31"/>
      <c r="D672" s="16" t="str">
        <f>'Sales Data'!E671</f>
        <v>PC-IND-FT23W-60</v>
      </c>
      <c r="E672" s="52">
        <f ca="1">'Sales Data'!G671</f>
        <v>296</v>
      </c>
      <c r="F672" s="72">
        <f>'Sales Data'!H671</f>
        <v>22</v>
      </c>
      <c r="G672" s="73"/>
      <c r="H672" s="73">
        <f ca="1">(InvoiceDetails[[#This Row],[Qty]]*InvoiceDetails[[#This Row],[Unit price]])-InvoiceDetails[[#This Row],[Discount]]</f>
        <v>6512</v>
      </c>
    </row>
    <row r="673" spans="2:8" ht="34.049999999999997" customHeight="1" x14ac:dyDescent="0.3">
      <c r="B673" s="51" t="str">
        <f>'Sales Data'!C672</f>
        <v>INV-2411-670</v>
      </c>
      <c r="C673" s="31"/>
      <c r="D673" s="16" t="str">
        <f>'Sales Data'!E672</f>
        <v>PC-IND-JP33W-48</v>
      </c>
      <c r="E673" s="52">
        <f ca="1">'Sales Data'!G672</f>
        <v>307</v>
      </c>
      <c r="F673" s="72">
        <f>'Sales Data'!H672</f>
        <v>29</v>
      </c>
      <c r="G673" s="73"/>
      <c r="H673" s="73">
        <f ca="1">(InvoiceDetails[[#This Row],[Qty]]*InvoiceDetails[[#This Row],[Unit price]])-InvoiceDetails[[#This Row],[Discount]]</f>
        <v>8903</v>
      </c>
    </row>
    <row r="674" spans="2:8" ht="34.049999999999997" customHeight="1" x14ac:dyDescent="0.3">
      <c r="B674" s="51" t="str">
        <f>'Sales Data'!C673</f>
        <v>INV-2411-671</v>
      </c>
      <c r="C674" s="31"/>
      <c r="D674" s="16" t="str">
        <f>'Sales Data'!E673</f>
        <v>ED-IND-LQ22G-73</v>
      </c>
      <c r="E674" s="52">
        <f ca="1">'Sales Data'!G673</f>
        <v>471</v>
      </c>
      <c r="F674" s="72">
        <f>'Sales Data'!H673</f>
        <v>21</v>
      </c>
      <c r="G674" s="73"/>
      <c r="H674" s="73">
        <f ca="1">(InvoiceDetails[[#This Row],[Qty]]*InvoiceDetails[[#This Row],[Unit price]])-InvoiceDetails[[#This Row],[Discount]]</f>
        <v>9891</v>
      </c>
    </row>
    <row r="675" spans="2:8" ht="34.049999999999997" customHeight="1" x14ac:dyDescent="0.3">
      <c r="B675" s="51" t="str">
        <f>'Sales Data'!C674</f>
        <v>INV-2411-672</v>
      </c>
      <c r="C675" s="31"/>
      <c r="D675" s="16" t="str">
        <f>'Sales Data'!E674</f>
        <v>PC-IND-TU59U-31</v>
      </c>
      <c r="E675" s="52">
        <f ca="1">'Sales Data'!G674</f>
        <v>477</v>
      </c>
      <c r="F675" s="72">
        <f>'Sales Data'!H674</f>
        <v>23</v>
      </c>
      <c r="G675" s="73"/>
      <c r="H675" s="73">
        <f ca="1">(InvoiceDetails[[#This Row],[Qty]]*InvoiceDetails[[#This Row],[Unit price]])-InvoiceDetails[[#This Row],[Discount]]</f>
        <v>10971</v>
      </c>
    </row>
    <row r="676" spans="2:8" ht="34.049999999999997" customHeight="1" x14ac:dyDescent="0.3">
      <c r="B676" s="51" t="str">
        <f>'Sales Data'!C675</f>
        <v>INV-2411-673</v>
      </c>
      <c r="C676" s="31"/>
      <c r="D676" s="16" t="str">
        <f>'Sales Data'!E675</f>
        <v>ED-IND-AZ83R-22</v>
      </c>
      <c r="E676" s="52">
        <f ca="1">'Sales Data'!G675</f>
        <v>421</v>
      </c>
      <c r="F676" s="72">
        <f>'Sales Data'!H675</f>
        <v>23</v>
      </c>
      <c r="G676" s="73"/>
      <c r="H676" s="73">
        <f ca="1">(InvoiceDetails[[#This Row],[Qty]]*InvoiceDetails[[#This Row],[Unit price]])-InvoiceDetails[[#This Row],[Discount]]</f>
        <v>9683</v>
      </c>
    </row>
    <row r="677" spans="2:8" ht="34.049999999999997" customHeight="1" x14ac:dyDescent="0.3">
      <c r="B677" s="51" t="str">
        <f>'Sales Data'!C676</f>
        <v>INV-2411-674</v>
      </c>
      <c r="C677" s="31"/>
      <c r="D677" s="16" t="str">
        <f>'Sales Data'!E676</f>
        <v>ED-IND-MG71J-48</v>
      </c>
      <c r="E677" s="52">
        <f ca="1">'Sales Data'!G676</f>
        <v>486</v>
      </c>
      <c r="F677" s="72">
        <f>'Sales Data'!H676</f>
        <v>23</v>
      </c>
      <c r="G677" s="73"/>
      <c r="H677" s="73">
        <f ca="1">(InvoiceDetails[[#This Row],[Qty]]*InvoiceDetails[[#This Row],[Unit price]])-InvoiceDetails[[#This Row],[Discount]]</f>
        <v>11178</v>
      </c>
    </row>
    <row r="678" spans="2:8" ht="34.049999999999997" customHeight="1" x14ac:dyDescent="0.3">
      <c r="B678" s="51" t="str">
        <f>'Sales Data'!C677</f>
        <v>INV-2411-675</v>
      </c>
      <c r="C678" s="31"/>
      <c r="D678" s="16" t="str">
        <f>'Sales Data'!E677</f>
        <v>ED-IND-ER90R-48</v>
      </c>
      <c r="E678" s="52">
        <f ca="1">'Sales Data'!G677</f>
        <v>350</v>
      </c>
      <c r="F678" s="72">
        <f>'Sales Data'!H677</f>
        <v>31</v>
      </c>
      <c r="G678" s="73"/>
      <c r="H678" s="73">
        <f ca="1">(InvoiceDetails[[#This Row],[Qty]]*InvoiceDetails[[#This Row],[Unit price]])-InvoiceDetails[[#This Row],[Discount]]</f>
        <v>10850</v>
      </c>
    </row>
    <row r="679" spans="2:8" ht="34.049999999999997" customHeight="1" x14ac:dyDescent="0.3">
      <c r="B679" s="51" t="str">
        <f>'Sales Data'!C678</f>
        <v>INV-2411-676</v>
      </c>
      <c r="C679" s="31"/>
      <c r="D679" s="16" t="str">
        <f>'Sales Data'!E678</f>
        <v>ED-IND-XH52P-23</v>
      </c>
      <c r="E679" s="52">
        <f ca="1">'Sales Data'!G678</f>
        <v>477</v>
      </c>
      <c r="F679" s="72">
        <f>'Sales Data'!H678</f>
        <v>30</v>
      </c>
      <c r="G679" s="73"/>
      <c r="H679" s="73">
        <f ca="1">(InvoiceDetails[[#This Row],[Qty]]*InvoiceDetails[[#This Row],[Unit price]])-InvoiceDetails[[#This Row],[Discount]]</f>
        <v>14310</v>
      </c>
    </row>
    <row r="680" spans="2:8" ht="34.049999999999997" customHeight="1" x14ac:dyDescent="0.3">
      <c r="B680" s="51" t="str">
        <f>'Sales Data'!C679</f>
        <v>INV-2411-677</v>
      </c>
      <c r="C680" s="31"/>
      <c r="D680" s="16" t="str">
        <f>'Sales Data'!E679</f>
        <v>ED-IND-ZU66U-33</v>
      </c>
      <c r="E680" s="52">
        <f ca="1">'Sales Data'!G679</f>
        <v>417</v>
      </c>
      <c r="F680" s="72">
        <f>'Sales Data'!H679</f>
        <v>26</v>
      </c>
      <c r="G680" s="73"/>
      <c r="H680" s="73">
        <f ca="1">(InvoiceDetails[[#This Row],[Qty]]*InvoiceDetails[[#This Row],[Unit price]])-InvoiceDetails[[#This Row],[Discount]]</f>
        <v>10842</v>
      </c>
    </row>
    <row r="681" spans="2:8" ht="34.049999999999997" customHeight="1" x14ac:dyDescent="0.3">
      <c r="B681" s="51" t="str">
        <f>'Sales Data'!C680</f>
        <v>INV-2411-678</v>
      </c>
      <c r="C681" s="31"/>
      <c r="D681" s="16" t="str">
        <f>'Sales Data'!E680</f>
        <v>ED-IND-WX73C-11</v>
      </c>
      <c r="E681" s="52">
        <f ca="1">'Sales Data'!G680</f>
        <v>302</v>
      </c>
      <c r="F681" s="72">
        <f>'Sales Data'!H680</f>
        <v>26</v>
      </c>
      <c r="G681" s="73"/>
      <c r="H681" s="73">
        <f ca="1">(InvoiceDetails[[#This Row],[Qty]]*InvoiceDetails[[#This Row],[Unit price]])-InvoiceDetails[[#This Row],[Discount]]</f>
        <v>7852</v>
      </c>
    </row>
    <row r="682" spans="2:8" ht="34.049999999999997" customHeight="1" x14ac:dyDescent="0.3">
      <c r="B682" s="51" t="str">
        <f>'Sales Data'!C681</f>
        <v>INV-2411-679</v>
      </c>
      <c r="C682" s="31"/>
      <c r="D682" s="16" t="str">
        <f>'Sales Data'!E681</f>
        <v>PC-IND-HL93P-01</v>
      </c>
      <c r="E682" s="52">
        <f ca="1">'Sales Data'!G681</f>
        <v>280</v>
      </c>
      <c r="F682" s="72">
        <f>'Sales Data'!H681</f>
        <v>26</v>
      </c>
      <c r="G682" s="73"/>
      <c r="H682" s="73">
        <f ca="1">(InvoiceDetails[[#This Row],[Qty]]*InvoiceDetails[[#This Row],[Unit price]])-InvoiceDetails[[#This Row],[Discount]]</f>
        <v>7280</v>
      </c>
    </row>
    <row r="683" spans="2:8" ht="34.049999999999997" customHeight="1" x14ac:dyDescent="0.3">
      <c r="B683" s="51" t="str">
        <f>'Sales Data'!C682</f>
        <v>INV-2411-680</v>
      </c>
      <c r="C683" s="31"/>
      <c r="D683" s="16" t="str">
        <f>'Sales Data'!E682</f>
        <v>ED-IND-LE66O-81</v>
      </c>
      <c r="E683" s="52">
        <f ca="1">'Sales Data'!G682</f>
        <v>501</v>
      </c>
      <c r="F683" s="72">
        <f>'Sales Data'!H682</f>
        <v>31</v>
      </c>
      <c r="G683" s="73"/>
      <c r="H683" s="73">
        <f ca="1">(InvoiceDetails[[#This Row],[Qty]]*InvoiceDetails[[#This Row],[Unit price]])-InvoiceDetails[[#This Row],[Discount]]</f>
        <v>15531</v>
      </c>
    </row>
    <row r="684" spans="2:8" ht="34.049999999999997" customHeight="1" x14ac:dyDescent="0.3">
      <c r="B684" s="51" t="str">
        <f>'Sales Data'!C683</f>
        <v>INV-2411-681</v>
      </c>
      <c r="C684" s="31"/>
      <c r="D684" s="16" t="str">
        <f>'Sales Data'!E683</f>
        <v>ED-IND-TX94W-76</v>
      </c>
      <c r="E684" s="52">
        <f ca="1">'Sales Data'!G683</f>
        <v>362</v>
      </c>
      <c r="F684" s="72">
        <f>'Sales Data'!H683</f>
        <v>29</v>
      </c>
      <c r="G684" s="73"/>
      <c r="H684" s="73">
        <f ca="1">(InvoiceDetails[[#This Row],[Qty]]*InvoiceDetails[[#This Row],[Unit price]])-InvoiceDetails[[#This Row],[Discount]]</f>
        <v>10498</v>
      </c>
    </row>
    <row r="685" spans="2:8" ht="34.049999999999997" customHeight="1" x14ac:dyDescent="0.3">
      <c r="B685" s="51" t="str">
        <f>'Sales Data'!C684</f>
        <v>INV-2411-682</v>
      </c>
      <c r="C685" s="31"/>
      <c r="D685" s="16" t="str">
        <f>'Sales Data'!E684</f>
        <v>ED-IND-DL55U-64</v>
      </c>
      <c r="E685" s="52">
        <f ca="1">'Sales Data'!G684</f>
        <v>284</v>
      </c>
      <c r="F685" s="72">
        <f>'Sales Data'!H684</f>
        <v>26</v>
      </c>
      <c r="G685" s="73"/>
      <c r="H685" s="73">
        <f ca="1">(InvoiceDetails[[#This Row],[Qty]]*InvoiceDetails[[#This Row],[Unit price]])-InvoiceDetails[[#This Row],[Discount]]</f>
        <v>7384</v>
      </c>
    </row>
    <row r="686" spans="2:8" ht="34.049999999999997" customHeight="1" x14ac:dyDescent="0.3">
      <c r="B686" s="51" t="str">
        <f>'Sales Data'!C685</f>
        <v>INV-2411-683</v>
      </c>
      <c r="C686" s="31"/>
      <c r="D686" s="16" t="str">
        <f>'Sales Data'!E685</f>
        <v>ED-IND-PF60P-93</v>
      </c>
      <c r="E686" s="52">
        <f ca="1">'Sales Data'!G685</f>
        <v>354</v>
      </c>
      <c r="F686" s="72">
        <f>'Sales Data'!H685</f>
        <v>21</v>
      </c>
      <c r="G686" s="73"/>
      <c r="H686" s="73">
        <f ca="1">(InvoiceDetails[[#This Row],[Qty]]*InvoiceDetails[[#This Row],[Unit price]])-InvoiceDetails[[#This Row],[Discount]]</f>
        <v>7434</v>
      </c>
    </row>
    <row r="687" spans="2:8" ht="34.049999999999997" customHeight="1" x14ac:dyDescent="0.3">
      <c r="B687" s="51" t="str">
        <f>'Sales Data'!C686</f>
        <v>INV-2411-684</v>
      </c>
      <c r="C687" s="31"/>
      <c r="D687" s="16" t="str">
        <f>'Sales Data'!E686</f>
        <v>ED-IND-XX54C-03</v>
      </c>
      <c r="E687" s="52">
        <f ca="1">'Sales Data'!G686</f>
        <v>389</v>
      </c>
      <c r="F687" s="72">
        <f>'Sales Data'!H686</f>
        <v>29</v>
      </c>
      <c r="G687" s="73"/>
      <c r="H687" s="73">
        <f ca="1">(InvoiceDetails[[#This Row],[Qty]]*InvoiceDetails[[#This Row],[Unit price]])-InvoiceDetails[[#This Row],[Discount]]</f>
        <v>11281</v>
      </c>
    </row>
    <row r="688" spans="2:8" ht="34.049999999999997" customHeight="1" x14ac:dyDescent="0.3">
      <c r="B688" s="51" t="str">
        <f>'Sales Data'!C687</f>
        <v>INV-2411-685</v>
      </c>
      <c r="C688" s="31"/>
      <c r="D688" s="16" t="str">
        <f>'Sales Data'!E687</f>
        <v>ED-IND-TF27X-97</v>
      </c>
      <c r="E688" s="52">
        <f ca="1">'Sales Data'!G687</f>
        <v>288</v>
      </c>
      <c r="F688" s="72">
        <f>'Sales Data'!H687</f>
        <v>28</v>
      </c>
      <c r="G688" s="73"/>
      <c r="H688" s="73">
        <f ca="1">(InvoiceDetails[[#This Row],[Qty]]*InvoiceDetails[[#This Row],[Unit price]])-InvoiceDetails[[#This Row],[Discount]]</f>
        <v>8064</v>
      </c>
    </row>
    <row r="689" spans="2:8" ht="34.049999999999997" customHeight="1" x14ac:dyDescent="0.3">
      <c r="B689" s="51" t="str">
        <f>'Sales Data'!C688</f>
        <v>INV-2411-686</v>
      </c>
      <c r="C689" s="31"/>
      <c r="D689" s="16" t="str">
        <f>'Sales Data'!E688</f>
        <v>ED-IND-AV90W-40</v>
      </c>
      <c r="E689" s="52">
        <f ca="1">'Sales Data'!G688</f>
        <v>510</v>
      </c>
      <c r="F689" s="72">
        <f>'Sales Data'!H688</f>
        <v>23</v>
      </c>
      <c r="G689" s="73"/>
      <c r="H689" s="73">
        <f ca="1">(InvoiceDetails[[#This Row],[Qty]]*InvoiceDetails[[#This Row],[Unit price]])-InvoiceDetails[[#This Row],[Discount]]</f>
        <v>11730</v>
      </c>
    </row>
    <row r="690" spans="2:8" ht="34.049999999999997" customHeight="1" x14ac:dyDescent="0.3">
      <c r="B690" s="51" t="str">
        <f>'Sales Data'!C689</f>
        <v>INV-2411-687</v>
      </c>
      <c r="C690" s="31"/>
      <c r="D690" s="16" t="str">
        <f>'Sales Data'!E689</f>
        <v>ED-IND-DN87P-81</v>
      </c>
      <c r="E690" s="52">
        <f ca="1">'Sales Data'!G689</f>
        <v>396</v>
      </c>
      <c r="F690" s="72">
        <f>'Sales Data'!H689</f>
        <v>23</v>
      </c>
      <c r="G690" s="73"/>
      <c r="H690" s="73">
        <f ca="1">(InvoiceDetails[[#This Row],[Qty]]*InvoiceDetails[[#This Row],[Unit price]])-InvoiceDetails[[#This Row],[Discount]]</f>
        <v>9108</v>
      </c>
    </row>
    <row r="691" spans="2:8" ht="34.049999999999997" customHeight="1" x14ac:dyDescent="0.3">
      <c r="B691" s="51" t="str">
        <f>'Sales Data'!C690</f>
        <v>INV-2411-688</v>
      </c>
      <c r="C691" s="31"/>
      <c r="D691" s="16" t="str">
        <f>'Sales Data'!E690</f>
        <v>ED-IND-PY71W-87</v>
      </c>
      <c r="E691" s="52">
        <f ca="1">'Sales Data'!G690</f>
        <v>342</v>
      </c>
      <c r="F691" s="72">
        <f>'Sales Data'!H690</f>
        <v>25</v>
      </c>
      <c r="G691" s="73"/>
      <c r="H691" s="73">
        <f ca="1">(InvoiceDetails[[#This Row],[Qty]]*InvoiceDetails[[#This Row],[Unit price]])-InvoiceDetails[[#This Row],[Discount]]</f>
        <v>8550</v>
      </c>
    </row>
    <row r="692" spans="2:8" ht="34.049999999999997" customHeight="1" x14ac:dyDescent="0.3">
      <c r="B692" s="51" t="str">
        <f>'Sales Data'!C691</f>
        <v>INV-2411-689</v>
      </c>
      <c r="C692" s="31"/>
      <c r="D692" s="16" t="str">
        <f>'Sales Data'!E691</f>
        <v>ED-IND-AP71X-79</v>
      </c>
      <c r="E692" s="52">
        <f ca="1">'Sales Data'!G691</f>
        <v>329</v>
      </c>
      <c r="F692" s="72">
        <f>'Sales Data'!H691</f>
        <v>30</v>
      </c>
      <c r="G692" s="73"/>
      <c r="H692" s="73">
        <f ca="1">(InvoiceDetails[[#This Row],[Qty]]*InvoiceDetails[[#This Row],[Unit price]])-InvoiceDetails[[#This Row],[Discount]]</f>
        <v>9870</v>
      </c>
    </row>
    <row r="693" spans="2:8" ht="34.049999999999997" customHeight="1" x14ac:dyDescent="0.3">
      <c r="B693" s="51" t="str">
        <f>'Sales Data'!C692</f>
        <v>INV-2411-690</v>
      </c>
      <c r="C693" s="31"/>
      <c r="D693" s="16" t="str">
        <f>'Sales Data'!E692</f>
        <v>ED-IND-GP88P-45</v>
      </c>
      <c r="E693" s="52">
        <f ca="1">'Sales Data'!G692</f>
        <v>428</v>
      </c>
      <c r="F693" s="72">
        <f>'Sales Data'!H692</f>
        <v>22</v>
      </c>
      <c r="G693" s="73"/>
      <c r="H693" s="73">
        <f ca="1">(InvoiceDetails[[#This Row],[Qty]]*InvoiceDetails[[#This Row],[Unit price]])-InvoiceDetails[[#This Row],[Discount]]</f>
        <v>9416</v>
      </c>
    </row>
    <row r="694" spans="2:8" ht="34.049999999999997" customHeight="1" x14ac:dyDescent="0.3">
      <c r="B694" s="51" t="str">
        <f>'Sales Data'!C693</f>
        <v>INV-2411-691</v>
      </c>
      <c r="C694" s="31"/>
      <c r="D694" s="16" t="str">
        <f>'Sales Data'!E693</f>
        <v>PC-IND-HE71K-95</v>
      </c>
      <c r="E694" s="52">
        <f>'Sales Data'!G693</f>
        <v>274</v>
      </c>
      <c r="F694" s="72">
        <f>'Sales Data'!H693</f>
        <v>28</v>
      </c>
      <c r="G694" s="73"/>
      <c r="H694" s="73">
        <f>(InvoiceDetails[[#This Row],[Qty]]*InvoiceDetails[[#This Row],[Unit price]])-InvoiceDetails[[#This Row],[Discount]]</f>
        <v>7672</v>
      </c>
    </row>
    <row r="695" spans="2:8" ht="34.049999999999997" customHeight="1" x14ac:dyDescent="0.3">
      <c r="B695" s="51" t="str">
        <f>'Sales Data'!C694</f>
        <v>INV-2411-692</v>
      </c>
      <c r="C695" s="31"/>
      <c r="D695" s="16" t="str">
        <f>'Sales Data'!E694</f>
        <v>PC-IND-FT52J-47</v>
      </c>
      <c r="E695" s="52">
        <f>'Sales Data'!G694</f>
        <v>297</v>
      </c>
      <c r="F695" s="72">
        <f>'Sales Data'!H694</f>
        <v>26</v>
      </c>
      <c r="G695" s="73"/>
      <c r="H695" s="73">
        <f>(InvoiceDetails[[#This Row],[Qty]]*InvoiceDetails[[#This Row],[Unit price]])-InvoiceDetails[[#This Row],[Discount]]</f>
        <v>7722</v>
      </c>
    </row>
    <row r="696" spans="2:8" ht="34.049999999999997" customHeight="1" x14ac:dyDescent="0.3">
      <c r="B696" s="51" t="str">
        <f>'Sales Data'!C695</f>
        <v>INV-2411-693</v>
      </c>
      <c r="C696" s="31"/>
      <c r="D696" s="16" t="str">
        <f>'Sales Data'!E695</f>
        <v>ED-IND-QQ25V-20</v>
      </c>
      <c r="E696" s="52">
        <f>'Sales Data'!G695</f>
        <v>294</v>
      </c>
      <c r="F696" s="72">
        <f>'Sales Data'!H695</f>
        <v>28</v>
      </c>
      <c r="G696" s="73"/>
      <c r="H696" s="73">
        <f>(InvoiceDetails[[#This Row],[Qty]]*InvoiceDetails[[#This Row],[Unit price]])-InvoiceDetails[[#This Row],[Discount]]</f>
        <v>8232</v>
      </c>
    </row>
    <row r="697" spans="2:8" ht="34.049999999999997" customHeight="1" x14ac:dyDescent="0.3">
      <c r="B697" s="51" t="str">
        <f>'Sales Data'!C696</f>
        <v>INV-2411-694</v>
      </c>
      <c r="C697" s="31"/>
      <c r="D697" s="16" t="str">
        <f>'Sales Data'!E696</f>
        <v>ED-IND-SN84C-96</v>
      </c>
      <c r="E697" s="52">
        <f>'Sales Data'!G696</f>
        <v>250</v>
      </c>
      <c r="F697" s="72">
        <f>'Sales Data'!H696</f>
        <v>25</v>
      </c>
      <c r="G697" s="73"/>
      <c r="H697" s="73">
        <f>(InvoiceDetails[[#This Row],[Qty]]*InvoiceDetails[[#This Row],[Unit price]])-InvoiceDetails[[#This Row],[Discount]]</f>
        <v>6250</v>
      </c>
    </row>
    <row r="698" spans="2:8" ht="34.049999999999997" customHeight="1" x14ac:dyDescent="0.3">
      <c r="B698" s="51" t="str">
        <f>'Sales Data'!C697</f>
        <v>INV-2411-695</v>
      </c>
      <c r="C698" s="31"/>
      <c r="D698" s="16" t="str">
        <f>'Sales Data'!E697</f>
        <v>ED-IND-YT77I-52</v>
      </c>
      <c r="E698" s="52">
        <f>'Sales Data'!G697</f>
        <v>255</v>
      </c>
      <c r="F698" s="72">
        <f>'Sales Data'!H697</f>
        <v>28</v>
      </c>
      <c r="G698" s="73"/>
      <c r="H698" s="73">
        <f>(InvoiceDetails[[#This Row],[Qty]]*InvoiceDetails[[#This Row],[Unit price]])-InvoiceDetails[[#This Row],[Discount]]</f>
        <v>7140</v>
      </c>
    </row>
    <row r="699" spans="2:8" ht="34.049999999999997" customHeight="1" x14ac:dyDescent="0.3">
      <c r="B699" s="51" t="str">
        <f>'Sales Data'!C698</f>
        <v>INV-2411-696</v>
      </c>
      <c r="C699" s="31"/>
      <c r="D699" s="16" t="str">
        <f>'Sales Data'!E698</f>
        <v>PC-IND-MG84Z-91</v>
      </c>
      <c r="E699" s="52">
        <f>'Sales Data'!G698</f>
        <v>251</v>
      </c>
      <c r="F699" s="72">
        <f>'Sales Data'!H698</f>
        <v>26</v>
      </c>
      <c r="G699" s="73"/>
      <c r="H699" s="73">
        <f>(InvoiceDetails[[#This Row],[Qty]]*InvoiceDetails[[#This Row],[Unit price]])-InvoiceDetails[[#This Row],[Discount]]</f>
        <v>6526</v>
      </c>
    </row>
    <row r="700" spans="2:8" ht="34.049999999999997" customHeight="1" x14ac:dyDescent="0.3">
      <c r="B700" s="51" t="str">
        <f>'Sales Data'!C699</f>
        <v>INV-2411-697</v>
      </c>
      <c r="C700" s="31"/>
      <c r="D700" s="16" t="str">
        <f>'Sales Data'!E699</f>
        <v>PC-IND-TE50N-54</v>
      </c>
      <c r="E700" s="52">
        <f>'Sales Data'!G699</f>
        <v>293</v>
      </c>
      <c r="F700" s="72">
        <f>'Sales Data'!H699</f>
        <v>21</v>
      </c>
      <c r="G700" s="73"/>
      <c r="H700" s="73">
        <f>(InvoiceDetails[[#This Row],[Qty]]*InvoiceDetails[[#This Row],[Unit price]])-InvoiceDetails[[#This Row],[Discount]]</f>
        <v>6153</v>
      </c>
    </row>
    <row r="701" spans="2:8" ht="34.049999999999997" customHeight="1" x14ac:dyDescent="0.3">
      <c r="B701" s="51" t="str">
        <f>'Sales Data'!C700</f>
        <v>INV-2412-698</v>
      </c>
      <c r="C701" s="31"/>
      <c r="D701" s="16" t="str">
        <f>'Sales Data'!E700</f>
        <v>PC-IND-UU74B-15</v>
      </c>
      <c r="E701" s="52">
        <f>'Sales Data'!G700</f>
        <v>232</v>
      </c>
      <c r="F701" s="72">
        <f>'Sales Data'!H700</f>
        <v>21</v>
      </c>
      <c r="G701" s="73"/>
      <c r="H701" s="73">
        <f>(InvoiceDetails[[#This Row],[Qty]]*InvoiceDetails[[#This Row],[Unit price]])-InvoiceDetails[[#This Row],[Discount]]</f>
        <v>4872</v>
      </c>
    </row>
    <row r="702" spans="2:8" ht="34.049999999999997" customHeight="1" x14ac:dyDescent="0.3">
      <c r="B702" s="51" t="str">
        <f>'Sales Data'!C701</f>
        <v>INV-2412-699</v>
      </c>
      <c r="C702" s="31"/>
      <c r="D702" s="16" t="str">
        <f>'Sales Data'!E701</f>
        <v>ED-IND-CP44L-46</v>
      </c>
      <c r="E702" s="52">
        <f>'Sales Data'!G701</f>
        <v>231</v>
      </c>
      <c r="F702" s="72">
        <f>'Sales Data'!H701</f>
        <v>26</v>
      </c>
      <c r="G702" s="73"/>
      <c r="H702" s="73">
        <f>(InvoiceDetails[[#This Row],[Qty]]*InvoiceDetails[[#This Row],[Unit price]])-InvoiceDetails[[#This Row],[Discount]]</f>
        <v>6006</v>
      </c>
    </row>
    <row r="703" spans="2:8" ht="34.049999999999997" customHeight="1" x14ac:dyDescent="0.3">
      <c r="B703" s="51" t="str">
        <f>'Sales Data'!C702</f>
        <v>INV-2412-700</v>
      </c>
      <c r="C703" s="31"/>
      <c r="D703" s="16" t="str">
        <f>'Sales Data'!E702</f>
        <v>ED-IND-BA53J-37</v>
      </c>
      <c r="E703" s="52">
        <f>'Sales Data'!G702</f>
        <v>218</v>
      </c>
      <c r="F703" s="72">
        <f>'Sales Data'!H702</f>
        <v>21</v>
      </c>
      <c r="G703" s="73"/>
      <c r="H703" s="73">
        <f>(InvoiceDetails[[#This Row],[Qty]]*InvoiceDetails[[#This Row],[Unit price]])-InvoiceDetails[[#This Row],[Discount]]</f>
        <v>4578</v>
      </c>
    </row>
    <row r="704" spans="2:8" ht="34.049999999999997" customHeight="1" x14ac:dyDescent="0.3">
      <c r="B704" s="51" t="str">
        <f>'Sales Data'!C703</f>
        <v>INV-2412-701</v>
      </c>
      <c r="C704" s="31"/>
      <c r="D704" s="16" t="str">
        <f>'Sales Data'!E703</f>
        <v>ED-IND-QD21W-53</v>
      </c>
      <c r="E704" s="52">
        <f>'Sales Data'!G703</f>
        <v>277</v>
      </c>
      <c r="F704" s="72">
        <f>'Sales Data'!H703</f>
        <v>31</v>
      </c>
      <c r="G704" s="73"/>
      <c r="H704" s="73">
        <f>(InvoiceDetails[[#This Row],[Qty]]*InvoiceDetails[[#This Row],[Unit price]])-InvoiceDetails[[#This Row],[Discount]]</f>
        <v>8587</v>
      </c>
    </row>
    <row r="705" spans="2:8" ht="34.049999999999997" customHeight="1" x14ac:dyDescent="0.3">
      <c r="B705" s="51" t="str">
        <f>'Sales Data'!C704</f>
        <v>INV-2412-702</v>
      </c>
      <c r="C705" s="31"/>
      <c r="D705" s="16" t="str">
        <f>'Sales Data'!E704</f>
        <v>ED-IND-CR97J-08</v>
      </c>
      <c r="E705" s="52">
        <f>'Sales Data'!G704</f>
        <v>234</v>
      </c>
      <c r="F705" s="72">
        <f>'Sales Data'!H704</f>
        <v>30</v>
      </c>
      <c r="G705" s="73"/>
      <c r="H705" s="73">
        <f>(InvoiceDetails[[#This Row],[Qty]]*InvoiceDetails[[#This Row],[Unit price]])-InvoiceDetails[[#This Row],[Discount]]</f>
        <v>7020</v>
      </c>
    </row>
    <row r="706" spans="2:8" ht="34.049999999999997" customHeight="1" x14ac:dyDescent="0.3">
      <c r="B706" s="51" t="str">
        <f>'Sales Data'!C705</f>
        <v>INV-2412-703</v>
      </c>
      <c r="C706" s="31"/>
      <c r="D706" s="16" t="str">
        <f>'Sales Data'!E705</f>
        <v>ED-IND-GC96A-88</v>
      </c>
      <c r="E706" s="52">
        <f>'Sales Data'!G705</f>
        <v>231</v>
      </c>
      <c r="F706" s="72">
        <f>'Sales Data'!H705</f>
        <v>30</v>
      </c>
      <c r="G706" s="73"/>
      <c r="H706" s="73">
        <f>(InvoiceDetails[[#This Row],[Qty]]*InvoiceDetails[[#This Row],[Unit price]])-InvoiceDetails[[#This Row],[Discount]]</f>
        <v>6930</v>
      </c>
    </row>
    <row r="707" spans="2:8" ht="34.049999999999997" customHeight="1" x14ac:dyDescent="0.3">
      <c r="B707" s="51" t="str">
        <f>'Sales Data'!C706</f>
        <v>INV-2412-704</v>
      </c>
      <c r="C707" s="31"/>
      <c r="D707" s="16" t="str">
        <f>'Sales Data'!E706</f>
        <v>ED-IND-ZF77J-41</v>
      </c>
      <c r="E707" s="52">
        <f>'Sales Data'!G706</f>
        <v>202</v>
      </c>
      <c r="F707" s="72">
        <f>'Sales Data'!H706</f>
        <v>26</v>
      </c>
      <c r="G707" s="73"/>
      <c r="H707" s="73">
        <f>(InvoiceDetails[[#This Row],[Qty]]*InvoiceDetails[[#This Row],[Unit price]])-InvoiceDetails[[#This Row],[Discount]]</f>
        <v>5252</v>
      </c>
    </row>
    <row r="708" spans="2:8" ht="34.049999999999997" customHeight="1" x14ac:dyDescent="0.3">
      <c r="B708" s="51" t="str">
        <f>'Sales Data'!C707</f>
        <v>INV-2412-705</v>
      </c>
      <c r="C708" s="31"/>
      <c r="D708" s="16" t="str">
        <f>'Sales Data'!E707</f>
        <v>PC-IND-LE21D-23</v>
      </c>
      <c r="E708" s="52">
        <f>'Sales Data'!G707</f>
        <v>227</v>
      </c>
      <c r="F708" s="72">
        <f>'Sales Data'!H707</f>
        <v>30</v>
      </c>
      <c r="G708" s="73"/>
      <c r="H708" s="73">
        <f>(InvoiceDetails[[#This Row],[Qty]]*InvoiceDetails[[#This Row],[Unit price]])-InvoiceDetails[[#This Row],[Discount]]</f>
        <v>6810</v>
      </c>
    </row>
    <row r="709" spans="2:8" ht="34.049999999999997" customHeight="1" x14ac:dyDescent="0.3">
      <c r="B709" s="51" t="str">
        <f>'Sales Data'!C708</f>
        <v>INV-2412-706</v>
      </c>
      <c r="C709" s="31"/>
      <c r="D709" s="16" t="str">
        <f>'Sales Data'!E708</f>
        <v>ED-IND-VZ74Q-74</v>
      </c>
      <c r="E709" s="52">
        <f>'Sales Data'!G708</f>
        <v>269</v>
      </c>
      <c r="F709" s="72">
        <f>'Sales Data'!H708</f>
        <v>30</v>
      </c>
      <c r="G709" s="73"/>
      <c r="H709" s="73">
        <f>(InvoiceDetails[[#This Row],[Qty]]*InvoiceDetails[[#This Row],[Unit price]])-InvoiceDetails[[#This Row],[Discount]]</f>
        <v>8070</v>
      </c>
    </row>
    <row r="710" spans="2:8" ht="34.049999999999997" customHeight="1" x14ac:dyDescent="0.3">
      <c r="B710" s="51" t="str">
        <f>'Sales Data'!C709</f>
        <v>INV-2412-707</v>
      </c>
      <c r="C710" s="31"/>
      <c r="D710" s="16" t="str">
        <f>'Sales Data'!E709</f>
        <v>ED-IND-BS55M-05</v>
      </c>
      <c r="E710" s="52">
        <f>'Sales Data'!G709</f>
        <v>212</v>
      </c>
      <c r="F710" s="72">
        <f>'Sales Data'!H709</f>
        <v>28</v>
      </c>
      <c r="G710" s="73"/>
      <c r="H710" s="73">
        <f>(InvoiceDetails[[#This Row],[Qty]]*InvoiceDetails[[#This Row],[Unit price]])-InvoiceDetails[[#This Row],[Discount]]</f>
        <v>5936</v>
      </c>
    </row>
    <row r="711" spans="2:8" ht="34.049999999999997" customHeight="1" x14ac:dyDescent="0.3">
      <c r="B711" s="51" t="str">
        <f>'Sales Data'!C710</f>
        <v>INV-2412-708</v>
      </c>
      <c r="C711" s="31"/>
      <c r="D711" s="16" t="str">
        <f>'Sales Data'!E710</f>
        <v>ED-IND-GQ85N-18</v>
      </c>
      <c r="E711" s="52">
        <f>'Sales Data'!G710</f>
        <v>239</v>
      </c>
      <c r="F711" s="72">
        <f>'Sales Data'!H710</f>
        <v>21</v>
      </c>
      <c r="G711" s="73"/>
      <c r="H711" s="73">
        <f>(InvoiceDetails[[#This Row],[Qty]]*InvoiceDetails[[#This Row],[Unit price]])-InvoiceDetails[[#This Row],[Discount]]</f>
        <v>5019</v>
      </c>
    </row>
    <row r="712" spans="2:8" ht="34.049999999999997" customHeight="1" x14ac:dyDescent="0.3">
      <c r="B712" s="51" t="str">
        <f>'Sales Data'!C711</f>
        <v>INV-2412-709</v>
      </c>
      <c r="C712" s="31"/>
      <c r="D712" s="16" t="str">
        <f>'Sales Data'!E711</f>
        <v>ED-IND-BH90S-10</v>
      </c>
      <c r="E712" s="52">
        <f>'Sales Data'!G711</f>
        <v>264</v>
      </c>
      <c r="F712" s="72">
        <f>'Sales Data'!H711</f>
        <v>31</v>
      </c>
      <c r="G712" s="73"/>
      <c r="H712" s="73">
        <f>(InvoiceDetails[[#This Row],[Qty]]*InvoiceDetails[[#This Row],[Unit price]])-InvoiceDetails[[#This Row],[Discount]]</f>
        <v>8184</v>
      </c>
    </row>
    <row r="713" spans="2:8" ht="34.049999999999997" customHeight="1" x14ac:dyDescent="0.3">
      <c r="B713" s="51" t="str">
        <f>'Sales Data'!C712</f>
        <v>INV-2412-710</v>
      </c>
      <c r="C713" s="31"/>
      <c r="D713" s="16" t="str">
        <f>'Sales Data'!E712</f>
        <v>PC-IND-CH58Y-98</v>
      </c>
      <c r="E713" s="52">
        <f>'Sales Data'!G712</f>
        <v>286</v>
      </c>
      <c r="F713" s="72">
        <f>'Sales Data'!H712</f>
        <v>29</v>
      </c>
      <c r="G713" s="73"/>
      <c r="H713" s="73">
        <f>(InvoiceDetails[[#This Row],[Qty]]*InvoiceDetails[[#This Row],[Unit price]])-InvoiceDetails[[#This Row],[Discount]]</f>
        <v>8294</v>
      </c>
    </row>
    <row r="714" spans="2:8" ht="34.049999999999997" customHeight="1" x14ac:dyDescent="0.3">
      <c r="B714" s="51" t="str">
        <f>'Sales Data'!C713</f>
        <v>INV-2412-711</v>
      </c>
      <c r="C714" s="31"/>
      <c r="D714" s="16" t="str">
        <f>'Sales Data'!E713</f>
        <v>ED-IND-LH75X-81</v>
      </c>
      <c r="E714" s="52">
        <f>'Sales Data'!G713</f>
        <v>241</v>
      </c>
      <c r="F714" s="72">
        <f>'Sales Data'!H713</f>
        <v>21</v>
      </c>
      <c r="G714" s="73"/>
      <c r="H714" s="73">
        <f>(InvoiceDetails[[#This Row],[Qty]]*InvoiceDetails[[#This Row],[Unit price]])-InvoiceDetails[[#This Row],[Discount]]</f>
        <v>5061</v>
      </c>
    </row>
    <row r="715" spans="2:8" ht="34.049999999999997" customHeight="1" x14ac:dyDescent="0.3">
      <c r="B715" s="51" t="str">
        <f>'Sales Data'!C714</f>
        <v>INV-2412-712</v>
      </c>
      <c r="C715" s="31"/>
      <c r="D715" s="16" t="str">
        <f>'Sales Data'!E714</f>
        <v>PC-IND-MX75P-18</v>
      </c>
      <c r="E715" s="52">
        <f>'Sales Data'!G714</f>
        <v>293</v>
      </c>
      <c r="F715" s="72">
        <f>'Sales Data'!H714</f>
        <v>26</v>
      </c>
      <c r="G715" s="73"/>
      <c r="H715" s="73">
        <f>(InvoiceDetails[[#This Row],[Qty]]*InvoiceDetails[[#This Row],[Unit price]])-InvoiceDetails[[#This Row],[Discount]]</f>
        <v>7618</v>
      </c>
    </row>
    <row r="716" spans="2:8" ht="34.049999999999997" customHeight="1" x14ac:dyDescent="0.3">
      <c r="B716" s="51" t="str">
        <f>'Sales Data'!C715</f>
        <v>INV-2412-713</v>
      </c>
      <c r="C716" s="31"/>
      <c r="D716" s="16" t="str">
        <f>'Sales Data'!E715</f>
        <v>ED-IND-AI73L-10</v>
      </c>
      <c r="E716" s="52">
        <f>'Sales Data'!G715</f>
        <v>237</v>
      </c>
      <c r="F716" s="72">
        <f>'Sales Data'!H715</f>
        <v>29</v>
      </c>
      <c r="G716" s="73"/>
      <c r="H716" s="73">
        <f>(InvoiceDetails[[#This Row],[Qty]]*InvoiceDetails[[#This Row],[Unit price]])-InvoiceDetails[[#This Row],[Discount]]</f>
        <v>6873</v>
      </c>
    </row>
    <row r="717" spans="2:8" ht="34.049999999999997" customHeight="1" x14ac:dyDescent="0.3">
      <c r="B717" s="51" t="str">
        <f>'Sales Data'!C716</f>
        <v>INV-2412-714</v>
      </c>
      <c r="C717" s="31"/>
      <c r="D717" s="16" t="str">
        <f>'Sales Data'!E716</f>
        <v>PC-IND-YE56N-08</v>
      </c>
      <c r="E717" s="52">
        <f>'Sales Data'!G716</f>
        <v>204</v>
      </c>
      <c r="F717" s="72">
        <f>'Sales Data'!H716</f>
        <v>25</v>
      </c>
      <c r="G717" s="73"/>
      <c r="H717" s="73">
        <f>(InvoiceDetails[[#This Row],[Qty]]*InvoiceDetails[[#This Row],[Unit price]])-InvoiceDetails[[#This Row],[Discount]]</f>
        <v>5100</v>
      </c>
    </row>
    <row r="718" spans="2:8" ht="34.049999999999997" customHeight="1" x14ac:dyDescent="0.3">
      <c r="B718" s="51" t="str">
        <f>'Sales Data'!C717</f>
        <v>INV-2412-715</v>
      </c>
      <c r="C718" s="31"/>
      <c r="D718" s="16" t="str">
        <f>'Sales Data'!E717</f>
        <v>ED-IND-AW48N-58</v>
      </c>
      <c r="E718" s="52">
        <f>'Sales Data'!G717</f>
        <v>285</v>
      </c>
      <c r="F718" s="72">
        <f>'Sales Data'!H717</f>
        <v>26</v>
      </c>
      <c r="G718" s="73"/>
      <c r="H718" s="73">
        <f>(InvoiceDetails[[#This Row],[Qty]]*InvoiceDetails[[#This Row],[Unit price]])-InvoiceDetails[[#This Row],[Discount]]</f>
        <v>7410</v>
      </c>
    </row>
    <row r="719" spans="2:8" ht="34.049999999999997" customHeight="1" x14ac:dyDescent="0.3">
      <c r="B719" s="51" t="str">
        <f>'Sales Data'!C718</f>
        <v>INV-2412-716</v>
      </c>
      <c r="C719" s="31"/>
      <c r="D719" s="16" t="str">
        <f>'Sales Data'!E718</f>
        <v>ED-IND-HR36W-89</v>
      </c>
      <c r="E719" s="52">
        <f>'Sales Data'!G718</f>
        <v>247</v>
      </c>
      <c r="F719" s="72">
        <f>'Sales Data'!H718</f>
        <v>27</v>
      </c>
      <c r="G719" s="73"/>
      <c r="H719" s="73">
        <f>(InvoiceDetails[[#This Row],[Qty]]*InvoiceDetails[[#This Row],[Unit price]])-InvoiceDetails[[#This Row],[Discount]]</f>
        <v>6669</v>
      </c>
    </row>
    <row r="720" spans="2:8" ht="34.049999999999997" customHeight="1" x14ac:dyDescent="0.3">
      <c r="B720" s="51" t="str">
        <f>'Sales Data'!C719</f>
        <v>INV-2412-717</v>
      </c>
      <c r="C720" s="31"/>
      <c r="D720" s="16" t="str">
        <f>'Sales Data'!E719</f>
        <v>ED-IND-YX26A-13</v>
      </c>
      <c r="E720" s="52">
        <f>'Sales Data'!G719</f>
        <v>227</v>
      </c>
      <c r="F720" s="72">
        <f>'Sales Data'!H719</f>
        <v>27</v>
      </c>
      <c r="G720" s="73"/>
      <c r="H720" s="73">
        <f>(InvoiceDetails[[#This Row],[Qty]]*InvoiceDetails[[#This Row],[Unit price]])-InvoiceDetails[[#This Row],[Discount]]</f>
        <v>6129</v>
      </c>
    </row>
    <row r="721" spans="2:8" ht="34.049999999999997" customHeight="1" x14ac:dyDescent="0.3">
      <c r="B721" s="51" t="str">
        <f>'Sales Data'!C720</f>
        <v>INV-2412-718</v>
      </c>
      <c r="C721" s="31"/>
      <c r="D721" s="16" t="str">
        <f>'Sales Data'!E720</f>
        <v>ED-IND-AW57N-95</v>
      </c>
      <c r="E721" s="52">
        <f>'Sales Data'!G720</f>
        <v>266</v>
      </c>
      <c r="F721" s="72">
        <f>'Sales Data'!H720</f>
        <v>26</v>
      </c>
      <c r="G721" s="73"/>
      <c r="H721" s="73">
        <f>(InvoiceDetails[[#This Row],[Qty]]*InvoiceDetails[[#This Row],[Unit price]])-InvoiceDetails[[#This Row],[Discount]]</f>
        <v>6916</v>
      </c>
    </row>
    <row r="722" spans="2:8" ht="34.049999999999997" customHeight="1" x14ac:dyDescent="0.3">
      <c r="B722" s="51" t="str">
        <f>'Sales Data'!C721</f>
        <v>INV-2412-719</v>
      </c>
      <c r="C722" s="31"/>
      <c r="D722" s="16" t="str">
        <f>'Sales Data'!E721</f>
        <v>PC-IND-KV10F-49</v>
      </c>
      <c r="E722" s="52">
        <f>'Sales Data'!G721</f>
        <v>296</v>
      </c>
      <c r="F722" s="72">
        <f>'Sales Data'!H721</f>
        <v>24</v>
      </c>
      <c r="G722" s="73"/>
      <c r="H722" s="73">
        <f>(InvoiceDetails[[#This Row],[Qty]]*InvoiceDetails[[#This Row],[Unit price]])-InvoiceDetails[[#This Row],[Discount]]</f>
        <v>7104</v>
      </c>
    </row>
    <row r="723" spans="2:8" ht="34.049999999999997" customHeight="1" x14ac:dyDescent="0.3">
      <c r="B723" s="51" t="str">
        <f>'Sales Data'!C722</f>
        <v>INV-2412-720</v>
      </c>
      <c r="C723" s="31"/>
      <c r="D723" s="16" t="str">
        <f>'Sales Data'!E722</f>
        <v>PC-IND-EB66Q-75</v>
      </c>
      <c r="E723" s="52">
        <f>'Sales Data'!G722</f>
        <v>222</v>
      </c>
      <c r="F723" s="72">
        <f>'Sales Data'!H722</f>
        <v>24</v>
      </c>
      <c r="G723" s="73"/>
      <c r="H723" s="73">
        <f>(InvoiceDetails[[#This Row],[Qty]]*InvoiceDetails[[#This Row],[Unit price]])-InvoiceDetails[[#This Row],[Discount]]</f>
        <v>5328</v>
      </c>
    </row>
    <row r="724" spans="2:8" ht="34.049999999999997" customHeight="1" x14ac:dyDescent="0.3">
      <c r="B724" s="51" t="str">
        <f>'Sales Data'!C723</f>
        <v>INV-2412-721</v>
      </c>
      <c r="C724" s="31"/>
      <c r="D724" s="16" t="str">
        <f>'Sales Data'!E723</f>
        <v>ED-IND-BZ79C-24</v>
      </c>
      <c r="E724" s="52">
        <f>'Sales Data'!G723</f>
        <v>234</v>
      </c>
      <c r="F724" s="72">
        <f>'Sales Data'!H723</f>
        <v>28</v>
      </c>
      <c r="G724" s="73"/>
      <c r="H724" s="73">
        <f>(InvoiceDetails[[#This Row],[Qty]]*InvoiceDetails[[#This Row],[Unit price]])-InvoiceDetails[[#This Row],[Discount]]</f>
        <v>6552</v>
      </c>
    </row>
    <row r="725" spans="2:8" ht="34.049999999999997" customHeight="1" x14ac:dyDescent="0.3">
      <c r="B725" s="51" t="str">
        <f>'Sales Data'!C724</f>
        <v>INV-2412-722</v>
      </c>
      <c r="C725" s="31"/>
      <c r="D725" s="16" t="str">
        <f>'Sales Data'!E724</f>
        <v>PC-IND-AU72I-26</v>
      </c>
      <c r="E725" s="52">
        <f>'Sales Data'!G724</f>
        <v>261</v>
      </c>
      <c r="F725" s="72">
        <f>'Sales Data'!H724</f>
        <v>23</v>
      </c>
      <c r="G725" s="73"/>
      <c r="H725" s="73">
        <f>(InvoiceDetails[[#This Row],[Qty]]*InvoiceDetails[[#This Row],[Unit price]])-InvoiceDetails[[#This Row],[Discount]]</f>
        <v>6003</v>
      </c>
    </row>
    <row r="726" spans="2:8" ht="34.049999999999997" customHeight="1" x14ac:dyDescent="0.3">
      <c r="B726" s="51" t="str">
        <f>'Sales Data'!C725</f>
        <v>INV-2412-723</v>
      </c>
      <c r="C726" s="31"/>
      <c r="D726" s="16" t="str">
        <f>'Sales Data'!E725</f>
        <v>ED-IND-VM64G-02</v>
      </c>
      <c r="E726" s="52">
        <f>'Sales Data'!G725</f>
        <v>290</v>
      </c>
      <c r="F726" s="72">
        <f>'Sales Data'!H725</f>
        <v>28</v>
      </c>
      <c r="G726" s="73"/>
      <c r="H726" s="73">
        <f>(InvoiceDetails[[#This Row],[Qty]]*InvoiceDetails[[#This Row],[Unit price]])-InvoiceDetails[[#This Row],[Discount]]</f>
        <v>8120</v>
      </c>
    </row>
    <row r="727" spans="2:8" ht="34.049999999999997" customHeight="1" x14ac:dyDescent="0.3">
      <c r="B727" s="51" t="str">
        <f>'Sales Data'!C726</f>
        <v>INV-2412-724</v>
      </c>
      <c r="C727" s="31"/>
      <c r="D727" s="16" t="str">
        <f>'Sales Data'!E726</f>
        <v>ED-IND-KW68F-78</v>
      </c>
      <c r="E727" s="52">
        <f>'Sales Data'!G726</f>
        <v>202</v>
      </c>
      <c r="F727" s="72">
        <f>'Sales Data'!H726</f>
        <v>31</v>
      </c>
      <c r="G727" s="73"/>
      <c r="H727" s="73">
        <f>(InvoiceDetails[[#This Row],[Qty]]*InvoiceDetails[[#This Row],[Unit price]])-InvoiceDetails[[#This Row],[Discount]]</f>
        <v>6262</v>
      </c>
    </row>
    <row r="728" spans="2:8" ht="34.049999999999997" customHeight="1" x14ac:dyDescent="0.3">
      <c r="B728" s="51" t="str">
        <f>'Sales Data'!C727</f>
        <v>INV-2412-725</v>
      </c>
      <c r="C728" s="31"/>
      <c r="D728" s="16" t="str">
        <f>'Sales Data'!E727</f>
        <v>ED-IND-NK78L-36</v>
      </c>
      <c r="E728" s="52">
        <f>'Sales Data'!G727</f>
        <v>272</v>
      </c>
      <c r="F728" s="72">
        <f>'Sales Data'!H727</f>
        <v>25</v>
      </c>
      <c r="G728" s="73"/>
      <c r="H728" s="73">
        <f>(InvoiceDetails[[#This Row],[Qty]]*InvoiceDetails[[#This Row],[Unit price]])-InvoiceDetails[[#This Row],[Discount]]</f>
        <v>6800</v>
      </c>
    </row>
    <row r="729" spans="2:8" ht="34.049999999999997" customHeight="1" x14ac:dyDescent="0.3">
      <c r="B729" s="51" t="str">
        <f>'Sales Data'!C728</f>
        <v>INV-2412-726</v>
      </c>
      <c r="C729" s="31"/>
      <c r="D729" s="16" t="str">
        <f>'Sales Data'!E728</f>
        <v>ED-IND-ON83N-05</v>
      </c>
      <c r="E729" s="52">
        <f>'Sales Data'!G728</f>
        <v>244</v>
      </c>
      <c r="F729" s="72">
        <f>'Sales Data'!H728</f>
        <v>25</v>
      </c>
      <c r="G729" s="73"/>
      <c r="H729" s="73">
        <f>(InvoiceDetails[[#This Row],[Qty]]*InvoiceDetails[[#This Row],[Unit price]])-InvoiceDetails[[#This Row],[Discount]]</f>
        <v>6100</v>
      </c>
    </row>
    <row r="730" spans="2:8" ht="34.049999999999997" customHeight="1" x14ac:dyDescent="0.3">
      <c r="B730" s="51" t="str">
        <f>'Sales Data'!C729</f>
        <v>INV-2412-727</v>
      </c>
      <c r="C730" s="31"/>
      <c r="D730" s="16" t="str">
        <f>'Sales Data'!E729</f>
        <v>PC-IND-OO77U-15</v>
      </c>
      <c r="E730" s="52">
        <f>'Sales Data'!G729</f>
        <v>275</v>
      </c>
      <c r="F730" s="72">
        <f>'Sales Data'!H729</f>
        <v>24</v>
      </c>
      <c r="G730" s="73"/>
      <c r="H730" s="73">
        <f>(InvoiceDetails[[#This Row],[Qty]]*InvoiceDetails[[#This Row],[Unit price]])-InvoiceDetails[[#This Row],[Discount]]</f>
        <v>6600</v>
      </c>
    </row>
    <row r="731" spans="2:8" ht="34.049999999999997" customHeight="1" x14ac:dyDescent="0.3">
      <c r="B731" s="51" t="str">
        <f>'Sales Data'!C730</f>
        <v>INV-2412-728</v>
      </c>
      <c r="C731" s="31"/>
      <c r="D731" s="16" t="str">
        <f>'Sales Data'!E730</f>
        <v>PC-IND-SE98Q-29</v>
      </c>
      <c r="E731" s="52">
        <f>'Sales Data'!G730</f>
        <v>226</v>
      </c>
      <c r="F731" s="72">
        <f>'Sales Data'!H730</f>
        <v>31</v>
      </c>
      <c r="G731" s="73"/>
      <c r="H731" s="73">
        <f>(InvoiceDetails[[#This Row],[Qty]]*InvoiceDetails[[#This Row],[Unit price]])-InvoiceDetails[[#This Row],[Discount]]</f>
        <v>7006</v>
      </c>
    </row>
    <row r="732" spans="2:8" ht="34.049999999999997" customHeight="1" x14ac:dyDescent="0.3">
      <c r="B732" s="51" t="str">
        <f>'Sales Data'!C731</f>
        <v>INV-2501-729</v>
      </c>
      <c r="C732" s="31"/>
      <c r="D732" s="16" t="str">
        <f>'Sales Data'!E731</f>
        <v>ED-IND-DG24B-24</v>
      </c>
      <c r="E732" s="52">
        <f>'Sales Data'!G731</f>
        <v>952</v>
      </c>
      <c r="F732" s="72">
        <f>'Sales Data'!H731</f>
        <v>29</v>
      </c>
      <c r="G732" s="73"/>
      <c r="H732" s="73">
        <f>(InvoiceDetails[[#This Row],[Qty]]*InvoiceDetails[[#This Row],[Unit price]])-InvoiceDetails[[#This Row],[Discount]]</f>
        <v>27608</v>
      </c>
    </row>
    <row r="733" spans="2:8" ht="34.049999999999997" customHeight="1" x14ac:dyDescent="0.3">
      <c r="B733" s="51" t="str">
        <f>'Sales Data'!C732</f>
        <v>INV-2501-730</v>
      </c>
      <c r="C733" s="31"/>
      <c r="D733" s="16" t="str">
        <f>'Sales Data'!E732</f>
        <v>ED-IND-ME36I-17</v>
      </c>
      <c r="E733" s="52">
        <f>'Sales Data'!G732</f>
        <v>773</v>
      </c>
      <c r="F733" s="72">
        <f>'Sales Data'!H732</f>
        <v>28</v>
      </c>
      <c r="G733" s="73"/>
      <c r="H733" s="73">
        <f>(InvoiceDetails[[#This Row],[Qty]]*InvoiceDetails[[#This Row],[Unit price]])-InvoiceDetails[[#This Row],[Discount]]</f>
        <v>21644</v>
      </c>
    </row>
    <row r="734" spans="2:8" ht="34.049999999999997" customHeight="1" x14ac:dyDescent="0.3">
      <c r="B734" s="51" t="str">
        <f>'Sales Data'!C733</f>
        <v>INV-2501-731</v>
      </c>
      <c r="C734" s="31"/>
      <c r="D734" s="16" t="str">
        <f>'Sales Data'!E733</f>
        <v>ED-IND-RY93R-14</v>
      </c>
      <c r="E734" s="52">
        <f>'Sales Data'!G733</f>
        <v>815</v>
      </c>
      <c r="F734" s="72">
        <f>'Sales Data'!H733</f>
        <v>22</v>
      </c>
      <c r="G734" s="73"/>
      <c r="H734" s="73">
        <f>(InvoiceDetails[[#This Row],[Qty]]*InvoiceDetails[[#This Row],[Unit price]])-InvoiceDetails[[#This Row],[Discount]]</f>
        <v>17930</v>
      </c>
    </row>
    <row r="735" spans="2:8" ht="34.049999999999997" customHeight="1" x14ac:dyDescent="0.3">
      <c r="B735" s="51" t="str">
        <f>'Sales Data'!C734</f>
        <v>INV-2501-732</v>
      </c>
      <c r="C735" s="31"/>
      <c r="D735" s="16" t="str">
        <f>'Sales Data'!E734</f>
        <v>ED-IND-CR14F-50</v>
      </c>
      <c r="E735" s="52">
        <f>'Sales Data'!G734</f>
        <v>898</v>
      </c>
      <c r="F735" s="72">
        <f>'Sales Data'!H734</f>
        <v>28</v>
      </c>
      <c r="G735" s="73"/>
      <c r="H735" s="73">
        <f>(InvoiceDetails[[#This Row],[Qty]]*InvoiceDetails[[#This Row],[Unit price]])-InvoiceDetails[[#This Row],[Discount]]</f>
        <v>25144</v>
      </c>
    </row>
    <row r="736" spans="2:8" ht="34.049999999999997" customHeight="1" x14ac:dyDescent="0.3">
      <c r="B736" s="51" t="str">
        <f>'Sales Data'!C735</f>
        <v>INV-2501-733</v>
      </c>
      <c r="C736" s="31"/>
      <c r="D736" s="16" t="str">
        <f>'Sales Data'!E735</f>
        <v>ED-IND-IR17Z-14</v>
      </c>
      <c r="E736" s="52">
        <f>'Sales Data'!G735</f>
        <v>567</v>
      </c>
      <c r="F736" s="72">
        <f>'Sales Data'!H735</f>
        <v>25</v>
      </c>
      <c r="G736" s="73"/>
      <c r="H736" s="73">
        <f>(InvoiceDetails[[#This Row],[Qty]]*InvoiceDetails[[#This Row],[Unit price]])-InvoiceDetails[[#This Row],[Discount]]</f>
        <v>14175</v>
      </c>
    </row>
    <row r="737" spans="2:8" ht="34.049999999999997" customHeight="1" x14ac:dyDescent="0.3">
      <c r="B737" s="51" t="str">
        <f>'Sales Data'!C736</f>
        <v>INV-2501-734</v>
      </c>
      <c r="C737" s="31"/>
      <c r="D737" s="16" t="str">
        <f>'Sales Data'!E736</f>
        <v>ED-IND-JK27W-13</v>
      </c>
      <c r="E737" s="52">
        <f>'Sales Data'!G736</f>
        <v>569</v>
      </c>
      <c r="F737" s="72">
        <f>'Sales Data'!H736</f>
        <v>27</v>
      </c>
      <c r="G737" s="73"/>
      <c r="H737" s="73">
        <f>(InvoiceDetails[[#This Row],[Qty]]*InvoiceDetails[[#This Row],[Unit price]])-InvoiceDetails[[#This Row],[Discount]]</f>
        <v>15363</v>
      </c>
    </row>
    <row r="738" spans="2:8" ht="34.049999999999997" customHeight="1" x14ac:dyDescent="0.3">
      <c r="B738" s="51" t="str">
        <f>'Sales Data'!C737</f>
        <v>INV-2501-735</v>
      </c>
      <c r="C738" s="31"/>
      <c r="D738" s="16" t="str">
        <f>'Sales Data'!E737</f>
        <v>ED-IND-SR87O-39</v>
      </c>
      <c r="E738" s="52">
        <f>'Sales Data'!G737</f>
        <v>594</v>
      </c>
      <c r="F738" s="72">
        <f>'Sales Data'!H737</f>
        <v>26</v>
      </c>
      <c r="G738" s="73"/>
      <c r="H738" s="73">
        <f>(InvoiceDetails[[#This Row],[Qty]]*InvoiceDetails[[#This Row],[Unit price]])-InvoiceDetails[[#This Row],[Discount]]</f>
        <v>15444</v>
      </c>
    </row>
    <row r="739" spans="2:8" ht="34.049999999999997" customHeight="1" x14ac:dyDescent="0.3">
      <c r="B739" s="51" t="str">
        <f>'Sales Data'!C738</f>
        <v>INV-2501-736</v>
      </c>
      <c r="C739" s="31"/>
      <c r="D739" s="16" t="str">
        <f>'Sales Data'!E738</f>
        <v>ED-IND-EI14A-82</v>
      </c>
      <c r="E739" s="52">
        <f>'Sales Data'!G738</f>
        <v>703</v>
      </c>
      <c r="F739" s="72">
        <f>'Sales Data'!H738</f>
        <v>22</v>
      </c>
      <c r="G739" s="73"/>
      <c r="H739" s="73">
        <f>(InvoiceDetails[[#This Row],[Qty]]*InvoiceDetails[[#This Row],[Unit price]])-InvoiceDetails[[#This Row],[Discount]]</f>
        <v>15466</v>
      </c>
    </row>
    <row r="740" spans="2:8" ht="34.049999999999997" customHeight="1" x14ac:dyDescent="0.3">
      <c r="B740" s="51" t="str">
        <f>'Sales Data'!C739</f>
        <v>INV-2501-737</v>
      </c>
      <c r="C740" s="31"/>
      <c r="D740" s="16" t="str">
        <f>'Sales Data'!E739</f>
        <v>ED-IND-UX88B-38</v>
      </c>
      <c r="E740" s="52">
        <f>'Sales Data'!G739</f>
        <v>929</v>
      </c>
      <c r="F740" s="72">
        <f>'Sales Data'!H739</f>
        <v>31</v>
      </c>
      <c r="G740" s="73"/>
      <c r="H740" s="73">
        <f>(InvoiceDetails[[#This Row],[Qty]]*InvoiceDetails[[#This Row],[Unit price]])-InvoiceDetails[[#This Row],[Discount]]</f>
        <v>28799</v>
      </c>
    </row>
    <row r="741" spans="2:8" ht="34.049999999999997" customHeight="1" x14ac:dyDescent="0.3">
      <c r="B741" s="51" t="str">
        <f>'Sales Data'!C740</f>
        <v>INV-2501-738</v>
      </c>
      <c r="C741" s="31"/>
      <c r="D741" s="16" t="str">
        <f>'Sales Data'!E740</f>
        <v>ED-IND-AY81Y-88</v>
      </c>
      <c r="E741" s="52">
        <f>'Sales Data'!G740</f>
        <v>595</v>
      </c>
      <c r="F741" s="72">
        <f>'Sales Data'!H740</f>
        <v>30</v>
      </c>
      <c r="G741" s="73"/>
      <c r="H741" s="73">
        <f>(InvoiceDetails[[#This Row],[Qty]]*InvoiceDetails[[#This Row],[Unit price]])-InvoiceDetails[[#This Row],[Discount]]</f>
        <v>17850</v>
      </c>
    </row>
    <row r="742" spans="2:8" ht="34.049999999999997" customHeight="1" x14ac:dyDescent="0.3">
      <c r="B742" s="51" t="str">
        <f>'Sales Data'!C741</f>
        <v>INV-2501-739</v>
      </c>
      <c r="C742" s="31"/>
      <c r="D742" s="16" t="str">
        <f>'Sales Data'!E741</f>
        <v>ED-IND-OE92Q-08</v>
      </c>
      <c r="E742" s="52">
        <f>'Sales Data'!G741</f>
        <v>919</v>
      </c>
      <c r="F742" s="72">
        <f>'Sales Data'!H741</f>
        <v>28</v>
      </c>
      <c r="G742" s="73"/>
      <c r="H742" s="73">
        <f>(InvoiceDetails[[#This Row],[Qty]]*InvoiceDetails[[#This Row],[Unit price]])-InvoiceDetails[[#This Row],[Discount]]</f>
        <v>25732</v>
      </c>
    </row>
    <row r="743" spans="2:8" ht="34.049999999999997" customHeight="1" x14ac:dyDescent="0.3">
      <c r="B743" s="51" t="str">
        <f>'Sales Data'!C742</f>
        <v>INV-2501-740</v>
      </c>
      <c r="C743" s="31"/>
      <c r="D743" s="16" t="str">
        <f>'Sales Data'!E742</f>
        <v>PC-IND-QL16Y-80</v>
      </c>
      <c r="E743" s="52">
        <f>'Sales Data'!G742</f>
        <v>959</v>
      </c>
      <c r="F743" s="72">
        <f>'Sales Data'!H742</f>
        <v>28</v>
      </c>
      <c r="G743" s="73"/>
      <c r="H743" s="73">
        <f>(InvoiceDetails[[#This Row],[Qty]]*InvoiceDetails[[#This Row],[Unit price]])-InvoiceDetails[[#This Row],[Discount]]</f>
        <v>26852</v>
      </c>
    </row>
    <row r="744" spans="2:8" ht="34.049999999999997" customHeight="1" x14ac:dyDescent="0.3">
      <c r="B744" s="51" t="str">
        <f>'Sales Data'!C743</f>
        <v>INV-2501-741</v>
      </c>
      <c r="C744" s="31"/>
      <c r="D744" s="16" t="str">
        <f>'Sales Data'!E743</f>
        <v>ED-IND-HE78Y-96</v>
      </c>
      <c r="E744" s="52">
        <f>'Sales Data'!G743</f>
        <v>755</v>
      </c>
      <c r="F744" s="72">
        <f>'Sales Data'!H743</f>
        <v>29</v>
      </c>
      <c r="G744" s="73"/>
      <c r="H744" s="73">
        <f>(InvoiceDetails[[#This Row],[Qty]]*InvoiceDetails[[#This Row],[Unit price]])-InvoiceDetails[[#This Row],[Discount]]</f>
        <v>21895</v>
      </c>
    </row>
    <row r="745" spans="2:8" ht="34.049999999999997" customHeight="1" x14ac:dyDescent="0.3">
      <c r="B745" s="51" t="str">
        <f>'Sales Data'!C744</f>
        <v>INV-2501-742</v>
      </c>
      <c r="C745" s="31"/>
      <c r="D745" s="16" t="str">
        <f>'Sales Data'!E744</f>
        <v>PC-IND-WZ86E-89</v>
      </c>
      <c r="E745" s="52">
        <f>'Sales Data'!G744</f>
        <v>508</v>
      </c>
      <c r="F745" s="72">
        <f>'Sales Data'!H744</f>
        <v>27</v>
      </c>
      <c r="G745" s="73"/>
      <c r="H745" s="73">
        <f>(InvoiceDetails[[#This Row],[Qty]]*InvoiceDetails[[#This Row],[Unit price]])-InvoiceDetails[[#This Row],[Discount]]</f>
        <v>13716</v>
      </c>
    </row>
    <row r="746" spans="2:8" ht="34.049999999999997" customHeight="1" x14ac:dyDescent="0.3">
      <c r="B746" s="51" t="str">
        <f>'Sales Data'!C745</f>
        <v>INV-2501-743</v>
      </c>
      <c r="C746" s="31"/>
      <c r="D746" s="16" t="str">
        <f>'Sales Data'!E745</f>
        <v>ED-IND-PB73D-16</v>
      </c>
      <c r="E746" s="52">
        <f>'Sales Data'!G745</f>
        <v>993</v>
      </c>
      <c r="F746" s="72">
        <f>'Sales Data'!H745</f>
        <v>27</v>
      </c>
      <c r="G746" s="73"/>
      <c r="H746" s="73">
        <f>(InvoiceDetails[[#This Row],[Qty]]*InvoiceDetails[[#This Row],[Unit price]])-InvoiceDetails[[#This Row],[Discount]]</f>
        <v>26811</v>
      </c>
    </row>
    <row r="747" spans="2:8" ht="34.049999999999997" customHeight="1" x14ac:dyDescent="0.3">
      <c r="B747" s="51" t="str">
        <f>'Sales Data'!C746</f>
        <v>INV-2501-744</v>
      </c>
      <c r="C747" s="31"/>
      <c r="D747" s="16" t="str">
        <f>'Sales Data'!E746</f>
        <v>ED-IND-IU25Z-31</v>
      </c>
      <c r="E747" s="52">
        <f>'Sales Data'!G746</f>
        <v>642</v>
      </c>
      <c r="F747" s="72">
        <f>'Sales Data'!H746</f>
        <v>22</v>
      </c>
      <c r="G747" s="73"/>
      <c r="H747" s="73">
        <f>(InvoiceDetails[[#This Row],[Qty]]*InvoiceDetails[[#This Row],[Unit price]])-InvoiceDetails[[#This Row],[Discount]]</f>
        <v>14124</v>
      </c>
    </row>
    <row r="748" spans="2:8" ht="34.049999999999997" customHeight="1" x14ac:dyDescent="0.3">
      <c r="B748" s="51" t="str">
        <f>'Sales Data'!C747</f>
        <v>INV-2501-745</v>
      </c>
      <c r="C748" s="31"/>
      <c r="D748" s="16" t="str">
        <f>'Sales Data'!E747</f>
        <v>ED-IND-KP24Y-16</v>
      </c>
      <c r="E748" s="52">
        <f>'Sales Data'!G747</f>
        <v>790</v>
      </c>
      <c r="F748" s="72">
        <f>'Sales Data'!H747</f>
        <v>21</v>
      </c>
      <c r="G748" s="73"/>
      <c r="H748" s="73">
        <f>(InvoiceDetails[[#This Row],[Qty]]*InvoiceDetails[[#This Row],[Unit price]])-InvoiceDetails[[#This Row],[Discount]]</f>
        <v>16590</v>
      </c>
    </row>
    <row r="749" spans="2:8" ht="34.049999999999997" customHeight="1" x14ac:dyDescent="0.3">
      <c r="B749" s="51" t="str">
        <f>'Sales Data'!C748</f>
        <v>INV-2501-746</v>
      </c>
      <c r="C749" s="31"/>
      <c r="D749" s="16" t="str">
        <f>'Sales Data'!E748</f>
        <v>ED-IND-ZP16M-96</v>
      </c>
      <c r="E749" s="52">
        <f>'Sales Data'!G748</f>
        <v>627</v>
      </c>
      <c r="F749" s="72">
        <f>'Sales Data'!H748</f>
        <v>29</v>
      </c>
      <c r="G749" s="73"/>
      <c r="H749" s="73">
        <f>(InvoiceDetails[[#This Row],[Qty]]*InvoiceDetails[[#This Row],[Unit price]])-InvoiceDetails[[#This Row],[Discount]]</f>
        <v>18183</v>
      </c>
    </row>
    <row r="750" spans="2:8" ht="34.049999999999997" customHeight="1" x14ac:dyDescent="0.3">
      <c r="B750" s="51" t="str">
        <f>'Sales Data'!C749</f>
        <v>INV-2501-747</v>
      </c>
      <c r="C750" s="31"/>
      <c r="D750" s="16" t="str">
        <f>'Sales Data'!E749</f>
        <v>ED-IND-XT71L-23</v>
      </c>
      <c r="E750" s="52">
        <f>'Sales Data'!G749</f>
        <v>637</v>
      </c>
      <c r="F750" s="72">
        <f>'Sales Data'!H749</f>
        <v>24</v>
      </c>
      <c r="G750" s="73"/>
      <c r="H750" s="73">
        <f>(InvoiceDetails[[#This Row],[Qty]]*InvoiceDetails[[#This Row],[Unit price]])-InvoiceDetails[[#This Row],[Discount]]</f>
        <v>15288</v>
      </c>
    </row>
    <row r="751" spans="2:8" ht="34.049999999999997" customHeight="1" x14ac:dyDescent="0.3">
      <c r="B751" s="51" t="str">
        <f>'Sales Data'!C750</f>
        <v>INV-2501-748</v>
      </c>
      <c r="C751" s="31"/>
      <c r="D751" s="16" t="str">
        <f>'Sales Data'!E750</f>
        <v>ED-IND-CA94Q-04</v>
      </c>
      <c r="E751" s="52">
        <f>'Sales Data'!G750</f>
        <v>941</v>
      </c>
      <c r="F751" s="72">
        <f>'Sales Data'!H750</f>
        <v>21</v>
      </c>
      <c r="G751" s="73"/>
      <c r="H751" s="73">
        <f>(InvoiceDetails[[#This Row],[Qty]]*InvoiceDetails[[#This Row],[Unit price]])-InvoiceDetails[[#This Row],[Discount]]</f>
        <v>19761</v>
      </c>
    </row>
    <row r="752" spans="2:8" ht="34.049999999999997" customHeight="1" x14ac:dyDescent="0.3">
      <c r="B752" s="51" t="str">
        <f>'Sales Data'!C751</f>
        <v>INV-2501-749</v>
      </c>
      <c r="C752" s="31"/>
      <c r="D752" s="16" t="str">
        <f>'Sales Data'!E751</f>
        <v>PC-IND-HR49Z-94</v>
      </c>
      <c r="E752" s="52">
        <f>'Sales Data'!G751</f>
        <v>572</v>
      </c>
      <c r="F752" s="72">
        <f>'Sales Data'!H751</f>
        <v>24</v>
      </c>
      <c r="G752" s="73"/>
      <c r="H752" s="73">
        <f>(InvoiceDetails[[#This Row],[Qty]]*InvoiceDetails[[#This Row],[Unit price]])-InvoiceDetails[[#This Row],[Discount]]</f>
        <v>13728</v>
      </c>
    </row>
    <row r="753" spans="2:8" ht="34.049999999999997" customHeight="1" x14ac:dyDescent="0.3">
      <c r="B753" s="51" t="str">
        <f>'Sales Data'!C752</f>
        <v>INV-2501-750</v>
      </c>
      <c r="C753" s="31"/>
      <c r="D753" s="16" t="str">
        <f>'Sales Data'!E752</f>
        <v>PC-IND-MG55D-28</v>
      </c>
      <c r="E753" s="52">
        <f>'Sales Data'!G752</f>
        <v>564</v>
      </c>
      <c r="F753" s="72">
        <f>'Sales Data'!H752</f>
        <v>23</v>
      </c>
      <c r="G753" s="73"/>
      <c r="H753" s="73">
        <f>(InvoiceDetails[[#This Row],[Qty]]*InvoiceDetails[[#This Row],[Unit price]])-InvoiceDetails[[#This Row],[Discount]]</f>
        <v>12972</v>
      </c>
    </row>
    <row r="754" spans="2:8" ht="34.049999999999997" customHeight="1" x14ac:dyDescent="0.3">
      <c r="B754" s="51" t="str">
        <f>'Sales Data'!C753</f>
        <v>INV-2501-751</v>
      </c>
      <c r="C754" s="31"/>
      <c r="D754" s="16" t="str">
        <f>'Sales Data'!E753</f>
        <v>ED-IND-EI14O-21</v>
      </c>
      <c r="E754" s="52">
        <f>'Sales Data'!G753</f>
        <v>962</v>
      </c>
      <c r="F754" s="72">
        <f>'Sales Data'!H753</f>
        <v>29</v>
      </c>
      <c r="G754" s="73"/>
      <c r="H754" s="73">
        <f>(InvoiceDetails[[#This Row],[Qty]]*InvoiceDetails[[#This Row],[Unit price]])-InvoiceDetails[[#This Row],[Discount]]</f>
        <v>27898</v>
      </c>
    </row>
    <row r="755" spans="2:8" ht="34.049999999999997" customHeight="1" x14ac:dyDescent="0.3">
      <c r="B755" s="51" t="str">
        <f>'Sales Data'!C754</f>
        <v>INV-2501-752</v>
      </c>
      <c r="C755" s="31"/>
      <c r="D755" s="16" t="str">
        <f>'Sales Data'!E754</f>
        <v>ED-IND-VA50F-81</v>
      </c>
      <c r="E755" s="52">
        <f>'Sales Data'!G754</f>
        <v>915</v>
      </c>
      <c r="F755" s="72">
        <f>'Sales Data'!H754</f>
        <v>26</v>
      </c>
      <c r="G755" s="73"/>
      <c r="H755" s="73">
        <f>(InvoiceDetails[[#This Row],[Qty]]*InvoiceDetails[[#This Row],[Unit price]])-InvoiceDetails[[#This Row],[Discount]]</f>
        <v>23790</v>
      </c>
    </row>
    <row r="756" spans="2:8" ht="34.049999999999997" customHeight="1" x14ac:dyDescent="0.3">
      <c r="B756" s="51" t="str">
        <f>'Sales Data'!C755</f>
        <v>INV-2501-753</v>
      </c>
      <c r="C756" s="31"/>
      <c r="D756" s="16" t="str">
        <f>'Sales Data'!E755</f>
        <v>ED-IND-RD23C-63</v>
      </c>
      <c r="E756" s="52">
        <f>'Sales Data'!G755</f>
        <v>736</v>
      </c>
      <c r="F756" s="72">
        <f>'Sales Data'!H755</f>
        <v>25</v>
      </c>
      <c r="G756" s="73"/>
      <c r="H756" s="73">
        <f>(InvoiceDetails[[#This Row],[Qty]]*InvoiceDetails[[#This Row],[Unit price]])-InvoiceDetails[[#This Row],[Discount]]</f>
        <v>18400</v>
      </c>
    </row>
    <row r="757" spans="2:8" ht="34.049999999999997" customHeight="1" x14ac:dyDescent="0.3">
      <c r="B757" s="51" t="str">
        <f>'Sales Data'!C756</f>
        <v>INV-2501-754</v>
      </c>
      <c r="C757" s="31"/>
      <c r="D757" s="16" t="str">
        <f>'Sales Data'!E756</f>
        <v>ED-IND-ED37Z-05</v>
      </c>
      <c r="E757" s="52">
        <f>'Sales Data'!G756</f>
        <v>677</v>
      </c>
      <c r="F757" s="72">
        <f>'Sales Data'!H756</f>
        <v>24</v>
      </c>
      <c r="G757" s="73"/>
      <c r="H757" s="73">
        <f>(InvoiceDetails[[#This Row],[Qty]]*InvoiceDetails[[#This Row],[Unit price]])-InvoiceDetails[[#This Row],[Discount]]</f>
        <v>16248</v>
      </c>
    </row>
    <row r="758" spans="2:8" ht="34.049999999999997" customHeight="1" x14ac:dyDescent="0.3">
      <c r="B758" s="51" t="str">
        <f>'Sales Data'!C757</f>
        <v>INV-2501-755</v>
      </c>
      <c r="C758" s="31"/>
      <c r="D758" s="16" t="str">
        <f>'Sales Data'!E757</f>
        <v>ED-IND-CI52D-90</v>
      </c>
      <c r="E758" s="52">
        <f>'Sales Data'!G757</f>
        <v>652</v>
      </c>
      <c r="F758" s="72">
        <f>'Sales Data'!H757</f>
        <v>27</v>
      </c>
      <c r="G758" s="73"/>
      <c r="H758" s="73">
        <f>(InvoiceDetails[[#This Row],[Qty]]*InvoiceDetails[[#This Row],[Unit price]])-InvoiceDetails[[#This Row],[Discount]]</f>
        <v>17604</v>
      </c>
    </row>
    <row r="759" spans="2:8" ht="34.049999999999997" customHeight="1" x14ac:dyDescent="0.3">
      <c r="B759" s="51" t="str">
        <f>'Sales Data'!C758</f>
        <v>INV-2501-756</v>
      </c>
      <c r="C759" s="31"/>
      <c r="D759" s="16" t="str">
        <f>'Sales Data'!E758</f>
        <v>PC-IND-JN15E-79</v>
      </c>
      <c r="E759" s="52">
        <f>'Sales Data'!G758</f>
        <v>523</v>
      </c>
      <c r="F759" s="72">
        <f>'Sales Data'!H758</f>
        <v>28</v>
      </c>
      <c r="G759" s="73"/>
      <c r="H759" s="73">
        <f>(InvoiceDetails[[#This Row],[Qty]]*InvoiceDetails[[#This Row],[Unit price]])-InvoiceDetails[[#This Row],[Discount]]</f>
        <v>14644</v>
      </c>
    </row>
    <row r="760" spans="2:8" ht="34.049999999999997" customHeight="1" x14ac:dyDescent="0.3">
      <c r="B760" s="51" t="str">
        <f>'Sales Data'!C759</f>
        <v>INV-2501-757</v>
      </c>
      <c r="C760" s="31"/>
      <c r="D760" s="16" t="str">
        <f>'Sales Data'!E759</f>
        <v>ED-IND-ML40P-54</v>
      </c>
      <c r="E760" s="52">
        <f>'Sales Data'!G759</f>
        <v>648</v>
      </c>
      <c r="F760" s="72">
        <f>'Sales Data'!H759</f>
        <v>30</v>
      </c>
      <c r="G760" s="73"/>
      <c r="H760" s="73">
        <f>(InvoiceDetails[[#This Row],[Qty]]*InvoiceDetails[[#This Row],[Unit price]])-InvoiceDetails[[#This Row],[Discount]]</f>
        <v>19440</v>
      </c>
    </row>
    <row r="761" spans="2:8" ht="34.049999999999997" customHeight="1" x14ac:dyDescent="0.3">
      <c r="B761" s="51" t="str">
        <f>'Sales Data'!C760</f>
        <v>INV-2501-758</v>
      </c>
      <c r="C761" s="31"/>
      <c r="D761" s="16" t="str">
        <f>'Sales Data'!E760</f>
        <v>ED-IND-NY52T-35</v>
      </c>
      <c r="E761" s="52">
        <f>'Sales Data'!G760</f>
        <v>644</v>
      </c>
      <c r="F761" s="72">
        <f>'Sales Data'!H760</f>
        <v>26</v>
      </c>
      <c r="G761" s="73"/>
      <c r="H761" s="73">
        <f>(InvoiceDetails[[#This Row],[Qty]]*InvoiceDetails[[#This Row],[Unit price]])-InvoiceDetails[[#This Row],[Discount]]</f>
        <v>16744</v>
      </c>
    </row>
    <row r="762" spans="2:8" ht="34.049999999999997" customHeight="1" x14ac:dyDescent="0.3">
      <c r="B762" s="51" t="str">
        <f>'Sales Data'!C761</f>
        <v>INV-2501-759</v>
      </c>
      <c r="C762" s="31"/>
      <c r="D762" s="16" t="str">
        <f>'Sales Data'!E761</f>
        <v>ED-IND-OU87M-50</v>
      </c>
      <c r="E762" s="52">
        <f>'Sales Data'!G761</f>
        <v>966</v>
      </c>
      <c r="F762" s="72">
        <f>'Sales Data'!H761</f>
        <v>24</v>
      </c>
      <c r="G762" s="73"/>
      <c r="H762" s="73">
        <f>(InvoiceDetails[[#This Row],[Qty]]*InvoiceDetails[[#This Row],[Unit price]])-InvoiceDetails[[#This Row],[Discount]]</f>
        <v>23184</v>
      </c>
    </row>
    <row r="763" spans="2:8" ht="34.049999999999997" customHeight="1" x14ac:dyDescent="0.3">
      <c r="B763" s="51" t="str">
        <f>'Sales Data'!C762</f>
        <v>INV-2502-760</v>
      </c>
      <c r="C763" s="31"/>
      <c r="D763" s="16" t="str">
        <f>'Sales Data'!E762</f>
        <v>ED-IND-XA80P-77</v>
      </c>
      <c r="E763" s="52">
        <f>'Sales Data'!G762</f>
        <v>687</v>
      </c>
      <c r="F763" s="72">
        <f>'Sales Data'!H762</f>
        <v>27</v>
      </c>
      <c r="G763" s="73"/>
      <c r="H763" s="73">
        <f>(InvoiceDetails[[#This Row],[Qty]]*InvoiceDetails[[#This Row],[Unit price]])-InvoiceDetails[[#This Row],[Discount]]</f>
        <v>18549</v>
      </c>
    </row>
    <row r="764" spans="2:8" ht="34.049999999999997" customHeight="1" x14ac:dyDescent="0.3">
      <c r="B764" s="51" t="str">
        <f>'Sales Data'!C763</f>
        <v>INV-2502-761</v>
      </c>
      <c r="C764" s="31"/>
      <c r="D764" s="16" t="str">
        <f>'Sales Data'!E763</f>
        <v>PC-IND-SX89B-96</v>
      </c>
      <c r="E764" s="52">
        <f>'Sales Data'!G763</f>
        <v>765</v>
      </c>
      <c r="F764" s="72">
        <f>'Sales Data'!H763</f>
        <v>22</v>
      </c>
      <c r="G764" s="73"/>
      <c r="H764" s="73">
        <f>(InvoiceDetails[[#This Row],[Qty]]*InvoiceDetails[[#This Row],[Unit price]])-InvoiceDetails[[#This Row],[Discount]]</f>
        <v>16830</v>
      </c>
    </row>
    <row r="765" spans="2:8" ht="34.049999999999997" customHeight="1" x14ac:dyDescent="0.3">
      <c r="B765" s="51" t="str">
        <f>'Sales Data'!C764</f>
        <v>INV-2502-762</v>
      </c>
      <c r="C765" s="31"/>
      <c r="D765" s="16" t="str">
        <f>'Sales Data'!E764</f>
        <v>ED-IND-WQ84L-96</v>
      </c>
      <c r="E765" s="52">
        <f>'Sales Data'!G764</f>
        <v>836</v>
      </c>
      <c r="F765" s="72">
        <f>'Sales Data'!H764</f>
        <v>30</v>
      </c>
      <c r="G765" s="73"/>
      <c r="H765" s="73">
        <f>(InvoiceDetails[[#This Row],[Qty]]*InvoiceDetails[[#This Row],[Unit price]])-InvoiceDetails[[#This Row],[Discount]]</f>
        <v>25080</v>
      </c>
    </row>
    <row r="766" spans="2:8" ht="34.049999999999997" customHeight="1" x14ac:dyDescent="0.3">
      <c r="B766" s="51" t="str">
        <f>'Sales Data'!C765</f>
        <v>INV-2502-763</v>
      </c>
      <c r="C766" s="31"/>
      <c r="D766" s="16" t="str">
        <f>'Sales Data'!E765</f>
        <v>PC-IND-KE97B-18</v>
      </c>
      <c r="E766" s="52">
        <f>'Sales Data'!G765</f>
        <v>885</v>
      </c>
      <c r="F766" s="72">
        <f>'Sales Data'!H765</f>
        <v>28</v>
      </c>
      <c r="G766" s="73"/>
      <c r="H766" s="73">
        <f>(InvoiceDetails[[#This Row],[Qty]]*InvoiceDetails[[#This Row],[Unit price]])-InvoiceDetails[[#This Row],[Discount]]</f>
        <v>24780</v>
      </c>
    </row>
    <row r="767" spans="2:8" ht="34.049999999999997" customHeight="1" x14ac:dyDescent="0.3">
      <c r="B767" s="51" t="str">
        <f>'Sales Data'!C766</f>
        <v>INV-2502-764</v>
      </c>
      <c r="C767" s="31"/>
      <c r="D767" s="16" t="str">
        <f>'Sales Data'!E766</f>
        <v>PC-IND-GC84W-61</v>
      </c>
      <c r="E767" s="52">
        <f>'Sales Data'!G766</f>
        <v>748</v>
      </c>
      <c r="F767" s="72">
        <f>'Sales Data'!H766</f>
        <v>29</v>
      </c>
      <c r="G767" s="73"/>
      <c r="H767" s="73">
        <f>(InvoiceDetails[[#This Row],[Qty]]*InvoiceDetails[[#This Row],[Unit price]])-InvoiceDetails[[#This Row],[Discount]]</f>
        <v>21692</v>
      </c>
    </row>
    <row r="768" spans="2:8" ht="34.049999999999997" customHeight="1" x14ac:dyDescent="0.3">
      <c r="B768" s="51" t="str">
        <f>'Sales Data'!C767</f>
        <v>INV-2502-765</v>
      </c>
      <c r="C768" s="31"/>
      <c r="D768" s="16" t="str">
        <f>'Sales Data'!E767</f>
        <v>ED-IND-KB66Z-13</v>
      </c>
      <c r="E768" s="52">
        <f>'Sales Data'!G767</f>
        <v>599</v>
      </c>
      <c r="F768" s="72">
        <f>'Sales Data'!H767</f>
        <v>22</v>
      </c>
      <c r="G768" s="73"/>
      <c r="H768" s="73">
        <f>(InvoiceDetails[[#This Row],[Qty]]*InvoiceDetails[[#This Row],[Unit price]])-InvoiceDetails[[#This Row],[Discount]]</f>
        <v>13178</v>
      </c>
    </row>
    <row r="769" spans="2:8" ht="34.049999999999997" customHeight="1" x14ac:dyDescent="0.3">
      <c r="B769" s="51" t="str">
        <f>'Sales Data'!C768</f>
        <v>INV-2502-766</v>
      </c>
      <c r="C769" s="31"/>
      <c r="D769" s="16" t="str">
        <f>'Sales Data'!E768</f>
        <v>ED-IND-SU87G-04</v>
      </c>
      <c r="E769" s="52">
        <f>'Sales Data'!G768</f>
        <v>982</v>
      </c>
      <c r="F769" s="72">
        <f>'Sales Data'!H768</f>
        <v>26</v>
      </c>
      <c r="G769" s="73"/>
      <c r="H769" s="73">
        <f>(InvoiceDetails[[#This Row],[Qty]]*InvoiceDetails[[#This Row],[Unit price]])-InvoiceDetails[[#This Row],[Discount]]</f>
        <v>25532</v>
      </c>
    </row>
    <row r="770" spans="2:8" ht="34.049999999999997" customHeight="1" x14ac:dyDescent="0.3">
      <c r="B770" s="51" t="str">
        <f>'Sales Data'!C769</f>
        <v>INV-2502-767</v>
      </c>
      <c r="C770" s="31"/>
      <c r="D770" s="16" t="str">
        <f>'Sales Data'!E769</f>
        <v>PC-IND-MO14M-05</v>
      </c>
      <c r="E770" s="52">
        <f>'Sales Data'!G769</f>
        <v>646</v>
      </c>
      <c r="F770" s="72">
        <f>'Sales Data'!H769</f>
        <v>28</v>
      </c>
      <c r="G770" s="73"/>
      <c r="H770" s="73">
        <f>(InvoiceDetails[[#This Row],[Qty]]*InvoiceDetails[[#This Row],[Unit price]])-InvoiceDetails[[#This Row],[Discount]]</f>
        <v>18088</v>
      </c>
    </row>
    <row r="771" spans="2:8" ht="34.049999999999997" customHeight="1" x14ac:dyDescent="0.3">
      <c r="B771" s="51" t="str">
        <f>'Sales Data'!C770</f>
        <v>INV-2502-768</v>
      </c>
      <c r="C771" s="31"/>
      <c r="D771" s="16" t="str">
        <f>'Sales Data'!E770</f>
        <v>ED-IND-JN32G-21</v>
      </c>
      <c r="E771" s="52">
        <f>'Sales Data'!G770</f>
        <v>614</v>
      </c>
      <c r="F771" s="72">
        <f>'Sales Data'!H770</f>
        <v>22</v>
      </c>
      <c r="G771" s="73"/>
      <c r="H771" s="73">
        <f>(InvoiceDetails[[#This Row],[Qty]]*InvoiceDetails[[#This Row],[Unit price]])-InvoiceDetails[[#This Row],[Discount]]</f>
        <v>13508</v>
      </c>
    </row>
    <row r="772" spans="2:8" ht="34.049999999999997" customHeight="1" x14ac:dyDescent="0.3">
      <c r="B772" s="51" t="str">
        <f>'Sales Data'!C771</f>
        <v>INV-2502-769</v>
      </c>
      <c r="C772" s="31"/>
      <c r="D772" s="16" t="str">
        <f>'Sales Data'!E771</f>
        <v>PC-IND-UT35H-64</v>
      </c>
      <c r="E772" s="52">
        <f>'Sales Data'!G771</f>
        <v>913</v>
      </c>
      <c r="F772" s="72">
        <f>'Sales Data'!H771</f>
        <v>31</v>
      </c>
      <c r="G772" s="73"/>
      <c r="H772" s="73">
        <f>(InvoiceDetails[[#This Row],[Qty]]*InvoiceDetails[[#This Row],[Unit price]])-InvoiceDetails[[#This Row],[Discount]]</f>
        <v>28303</v>
      </c>
    </row>
    <row r="773" spans="2:8" ht="34.049999999999997" customHeight="1" x14ac:dyDescent="0.3">
      <c r="B773" s="51" t="str">
        <f>'Sales Data'!C772</f>
        <v>INV-2502-770</v>
      </c>
      <c r="C773" s="31"/>
      <c r="D773" s="16" t="str">
        <f>'Sales Data'!E772</f>
        <v>ED-IND-TQ62O-75</v>
      </c>
      <c r="E773" s="52">
        <f>'Sales Data'!G772</f>
        <v>615</v>
      </c>
      <c r="F773" s="72">
        <f>'Sales Data'!H772</f>
        <v>29</v>
      </c>
      <c r="G773" s="73"/>
      <c r="H773" s="73">
        <f>(InvoiceDetails[[#This Row],[Qty]]*InvoiceDetails[[#This Row],[Unit price]])-InvoiceDetails[[#This Row],[Discount]]</f>
        <v>17835</v>
      </c>
    </row>
    <row r="774" spans="2:8" ht="34.049999999999997" customHeight="1" x14ac:dyDescent="0.3">
      <c r="B774" s="51" t="str">
        <f>'Sales Data'!C773</f>
        <v>INV-2502-771</v>
      </c>
      <c r="C774" s="31"/>
      <c r="D774" s="16" t="str">
        <f>'Sales Data'!E773</f>
        <v>ED-IND-FO75Z-20</v>
      </c>
      <c r="E774" s="52">
        <f>'Sales Data'!G773</f>
        <v>786</v>
      </c>
      <c r="F774" s="72">
        <f>'Sales Data'!H773</f>
        <v>31</v>
      </c>
      <c r="G774" s="73"/>
      <c r="H774" s="73">
        <f>(InvoiceDetails[[#This Row],[Qty]]*InvoiceDetails[[#This Row],[Unit price]])-InvoiceDetails[[#This Row],[Discount]]</f>
        <v>24366</v>
      </c>
    </row>
    <row r="775" spans="2:8" ht="34.049999999999997" customHeight="1" x14ac:dyDescent="0.3">
      <c r="B775" s="51" t="str">
        <f>'Sales Data'!C774</f>
        <v>INV-2502-772</v>
      </c>
      <c r="C775" s="31"/>
      <c r="D775" s="16" t="str">
        <f>'Sales Data'!E774</f>
        <v>ED-IND-ML91F-37</v>
      </c>
      <c r="E775" s="52">
        <f>'Sales Data'!G774</f>
        <v>576</v>
      </c>
      <c r="F775" s="72">
        <f>'Sales Data'!H774</f>
        <v>24</v>
      </c>
      <c r="G775" s="73"/>
      <c r="H775" s="73">
        <f>(InvoiceDetails[[#This Row],[Qty]]*InvoiceDetails[[#This Row],[Unit price]])-InvoiceDetails[[#This Row],[Discount]]</f>
        <v>13824</v>
      </c>
    </row>
    <row r="776" spans="2:8" ht="34.049999999999997" customHeight="1" x14ac:dyDescent="0.3">
      <c r="B776" s="51" t="str">
        <f>'Sales Data'!C775</f>
        <v>INV-2502-773</v>
      </c>
      <c r="C776" s="31"/>
      <c r="D776" s="16" t="str">
        <f>'Sales Data'!E775</f>
        <v>ED-IND-PY54W-22</v>
      </c>
      <c r="E776" s="52">
        <f>'Sales Data'!G775</f>
        <v>670</v>
      </c>
      <c r="F776" s="72">
        <f>'Sales Data'!H775</f>
        <v>26</v>
      </c>
      <c r="G776" s="73"/>
      <c r="H776" s="73">
        <f>(InvoiceDetails[[#This Row],[Qty]]*InvoiceDetails[[#This Row],[Unit price]])-InvoiceDetails[[#This Row],[Discount]]</f>
        <v>17420</v>
      </c>
    </row>
    <row r="777" spans="2:8" ht="34.049999999999997" customHeight="1" x14ac:dyDescent="0.3">
      <c r="B777" s="51" t="str">
        <f>'Sales Data'!C776</f>
        <v>INV-2502-774</v>
      </c>
      <c r="C777" s="31"/>
      <c r="D777" s="16" t="str">
        <f>'Sales Data'!E776</f>
        <v>PC-IND-FB92A-35</v>
      </c>
      <c r="E777" s="52">
        <f>'Sales Data'!G776</f>
        <v>994</v>
      </c>
      <c r="F777" s="72">
        <f>'Sales Data'!H776</f>
        <v>30</v>
      </c>
      <c r="G777" s="73"/>
      <c r="H777" s="73">
        <f>(InvoiceDetails[[#This Row],[Qty]]*InvoiceDetails[[#This Row],[Unit price]])-InvoiceDetails[[#This Row],[Discount]]</f>
        <v>29820</v>
      </c>
    </row>
    <row r="778" spans="2:8" ht="34.049999999999997" customHeight="1" x14ac:dyDescent="0.3">
      <c r="B778" s="51" t="str">
        <f>'Sales Data'!C777</f>
        <v>INV-2502-775</v>
      </c>
      <c r="C778" s="31"/>
      <c r="D778" s="16" t="str">
        <f>'Sales Data'!E777</f>
        <v>ED-IND-VT22D-51</v>
      </c>
      <c r="E778" s="52">
        <f>'Sales Data'!G777</f>
        <v>665</v>
      </c>
      <c r="F778" s="72">
        <f>'Sales Data'!H777</f>
        <v>24</v>
      </c>
      <c r="G778" s="73"/>
      <c r="H778" s="73">
        <f>(InvoiceDetails[[#This Row],[Qty]]*InvoiceDetails[[#This Row],[Unit price]])-InvoiceDetails[[#This Row],[Discount]]</f>
        <v>15960</v>
      </c>
    </row>
    <row r="779" spans="2:8" ht="34.049999999999997" customHeight="1" x14ac:dyDescent="0.3">
      <c r="B779" s="51" t="str">
        <f>'Sales Data'!C778</f>
        <v>INV-2502-776</v>
      </c>
      <c r="C779" s="31"/>
      <c r="D779" s="16" t="str">
        <f>'Sales Data'!E778</f>
        <v>ED-IND-DY60M-09</v>
      </c>
      <c r="E779" s="52">
        <f>'Sales Data'!G778</f>
        <v>686</v>
      </c>
      <c r="F779" s="72">
        <f>'Sales Data'!H778</f>
        <v>30</v>
      </c>
      <c r="G779" s="73"/>
      <c r="H779" s="73">
        <f>(InvoiceDetails[[#This Row],[Qty]]*InvoiceDetails[[#This Row],[Unit price]])-InvoiceDetails[[#This Row],[Discount]]</f>
        <v>20580</v>
      </c>
    </row>
    <row r="780" spans="2:8" ht="34.049999999999997" customHeight="1" x14ac:dyDescent="0.3">
      <c r="B780" s="51" t="str">
        <f>'Sales Data'!C779</f>
        <v>INV-2502-777</v>
      </c>
      <c r="C780" s="31"/>
      <c r="D780" s="16" t="str">
        <f>'Sales Data'!E779</f>
        <v>ED-IND-VO52Q-50</v>
      </c>
      <c r="E780" s="52">
        <f>'Sales Data'!G779</f>
        <v>656</v>
      </c>
      <c r="F780" s="72">
        <f>'Sales Data'!H779</f>
        <v>25</v>
      </c>
      <c r="G780" s="73"/>
      <c r="H780" s="73">
        <f>(InvoiceDetails[[#This Row],[Qty]]*InvoiceDetails[[#This Row],[Unit price]])-InvoiceDetails[[#This Row],[Discount]]</f>
        <v>16400</v>
      </c>
    </row>
    <row r="781" spans="2:8" ht="34.049999999999997" customHeight="1" x14ac:dyDescent="0.3">
      <c r="B781" s="51" t="str">
        <f>'Sales Data'!C780</f>
        <v>INV-2502-778</v>
      </c>
      <c r="C781" s="31"/>
      <c r="D781" s="16" t="str">
        <f>'Sales Data'!E780</f>
        <v>ED-IND-KQ78V-74</v>
      </c>
      <c r="E781" s="52">
        <f>'Sales Data'!G780</f>
        <v>718</v>
      </c>
      <c r="F781" s="72">
        <f>'Sales Data'!H780</f>
        <v>22</v>
      </c>
      <c r="G781" s="73"/>
      <c r="H781" s="73">
        <f>(InvoiceDetails[[#This Row],[Qty]]*InvoiceDetails[[#This Row],[Unit price]])-InvoiceDetails[[#This Row],[Discount]]</f>
        <v>15796</v>
      </c>
    </row>
    <row r="782" spans="2:8" ht="34.049999999999997" customHeight="1" x14ac:dyDescent="0.3">
      <c r="B782" s="51" t="str">
        <f>'Sales Data'!C781</f>
        <v>INV-2502-779</v>
      </c>
      <c r="C782" s="31"/>
      <c r="D782" s="16" t="str">
        <f>'Sales Data'!E781</f>
        <v>PC-IND-ES12T-06</v>
      </c>
      <c r="E782" s="52">
        <f>'Sales Data'!G781</f>
        <v>545</v>
      </c>
      <c r="F782" s="72">
        <f>'Sales Data'!H781</f>
        <v>23</v>
      </c>
      <c r="G782" s="73"/>
      <c r="H782" s="73">
        <f>(InvoiceDetails[[#This Row],[Qty]]*InvoiceDetails[[#This Row],[Unit price]])-InvoiceDetails[[#This Row],[Discount]]</f>
        <v>12535</v>
      </c>
    </row>
    <row r="783" spans="2:8" ht="34.049999999999997" customHeight="1" x14ac:dyDescent="0.3">
      <c r="B783" s="51" t="str">
        <f>'Sales Data'!C782</f>
        <v>INV-2502-780</v>
      </c>
      <c r="C783" s="31"/>
      <c r="D783" s="16" t="str">
        <f>'Sales Data'!E782</f>
        <v>ED-IND-UL42M-02</v>
      </c>
      <c r="E783" s="52">
        <f>'Sales Data'!G782</f>
        <v>560</v>
      </c>
      <c r="F783" s="72">
        <f>'Sales Data'!H782</f>
        <v>27</v>
      </c>
      <c r="G783" s="73"/>
      <c r="H783" s="73">
        <f>(InvoiceDetails[[#This Row],[Qty]]*InvoiceDetails[[#This Row],[Unit price]])-InvoiceDetails[[#This Row],[Discount]]</f>
        <v>15120</v>
      </c>
    </row>
    <row r="784" spans="2:8" ht="34.049999999999997" customHeight="1" x14ac:dyDescent="0.3">
      <c r="B784" s="51" t="str">
        <f>'Sales Data'!C783</f>
        <v>INV-2502-781</v>
      </c>
      <c r="C784" s="31"/>
      <c r="D784" s="16" t="str">
        <f>'Sales Data'!E783</f>
        <v>ED-IND-UL24S-60</v>
      </c>
      <c r="E784" s="52">
        <f>'Sales Data'!G783</f>
        <v>781</v>
      </c>
      <c r="F784" s="72">
        <f>'Sales Data'!H783</f>
        <v>23</v>
      </c>
      <c r="G784" s="73"/>
      <c r="H784" s="73">
        <f>(InvoiceDetails[[#This Row],[Qty]]*InvoiceDetails[[#This Row],[Unit price]])-InvoiceDetails[[#This Row],[Discount]]</f>
        <v>17963</v>
      </c>
    </row>
    <row r="785" spans="2:8" ht="34.049999999999997" customHeight="1" x14ac:dyDescent="0.3">
      <c r="B785" s="51" t="str">
        <f>'Sales Data'!C784</f>
        <v>INV-2502-782</v>
      </c>
      <c r="C785" s="31"/>
      <c r="D785" s="16" t="str">
        <f>'Sales Data'!E784</f>
        <v>PC-IND-VA16S-40</v>
      </c>
      <c r="E785" s="52">
        <f>'Sales Data'!G784</f>
        <v>807</v>
      </c>
      <c r="F785" s="72">
        <f>'Sales Data'!H784</f>
        <v>27</v>
      </c>
      <c r="G785" s="73"/>
      <c r="H785" s="73">
        <f>(InvoiceDetails[[#This Row],[Qty]]*InvoiceDetails[[#This Row],[Unit price]])-InvoiceDetails[[#This Row],[Discount]]</f>
        <v>21789</v>
      </c>
    </row>
    <row r="786" spans="2:8" ht="34.049999999999997" customHeight="1" x14ac:dyDescent="0.3">
      <c r="B786" s="51" t="str">
        <f>'Sales Data'!C785</f>
        <v>INV-2502-783</v>
      </c>
      <c r="C786" s="31"/>
      <c r="D786" s="16" t="str">
        <f>'Sales Data'!E785</f>
        <v>ED-IND-JQ86Z-13</v>
      </c>
      <c r="E786" s="52">
        <f>'Sales Data'!G785</f>
        <v>913</v>
      </c>
      <c r="F786" s="72">
        <f>'Sales Data'!H785</f>
        <v>26</v>
      </c>
      <c r="G786" s="73"/>
      <c r="H786" s="73">
        <f>(InvoiceDetails[[#This Row],[Qty]]*InvoiceDetails[[#This Row],[Unit price]])-InvoiceDetails[[#This Row],[Discount]]</f>
        <v>23738</v>
      </c>
    </row>
    <row r="787" spans="2:8" ht="34.049999999999997" customHeight="1" x14ac:dyDescent="0.3">
      <c r="B787" s="51" t="str">
        <f>'Sales Data'!C786</f>
        <v>INV-2502-784</v>
      </c>
      <c r="C787" s="31"/>
      <c r="D787" s="16" t="str">
        <f>'Sales Data'!E786</f>
        <v>ED-IND-MG36O-77</v>
      </c>
      <c r="E787" s="52">
        <f>'Sales Data'!G786</f>
        <v>810</v>
      </c>
      <c r="F787" s="72">
        <f>'Sales Data'!H786</f>
        <v>29</v>
      </c>
      <c r="G787" s="73"/>
      <c r="H787" s="73">
        <f>(InvoiceDetails[[#This Row],[Qty]]*InvoiceDetails[[#This Row],[Unit price]])-InvoiceDetails[[#This Row],[Discount]]</f>
        <v>23490</v>
      </c>
    </row>
    <row r="788" spans="2:8" ht="34.049999999999997" customHeight="1" x14ac:dyDescent="0.3">
      <c r="B788" s="51" t="str">
        <f>'Sales Data'!C787</f>
        <v>INV-2502-785</v>
      </c>
      <c r="C788" s="31"/>
      <c r="D788" s="16" t="str">
        <f>'Sales Data'!E787</f>
        <v>PC-IND-YN53J-02</v>
      </c>
      <c r="E788" s="52">
        <f>'Sales Data'!G787</f>
        <v>853</v>
      </c>
      <c r="F788" s="72">
        <f>'Sales Data'!H787</f>
        <v>31</v>
      </c>
      <c r="G788" s="73"/>
      <c r="H788" s="73">
        <f>(InvoiceDetails[[#This Row],[Qty]]*InvoiceDetails[[#This Row],[Unit price]])-InvoiceDetails[[#This Row],[Discount]]</f>
        <v>26443</v>
      </c>
    </row>
    <row r="789" spans="2:8" ht="34.049999999999997" customHeight="1" x14ac:dyDescent="0.3">
      <c r="B789" s="51" t="str">
        <f>'Sales Data'!C788</f>
        <v>INV-2502-786</v>
      </c>
      <c r="C789" s="31"/>
      <c r="D789" s="16" t="str">
        <f>'Sales Data'!E788</f>
        <v>ED-IND-XW36K-94</v>
      </c>
      <c r="E789" s="52">
        <f>'Sales Data'!G788</f>
        <v>924</v>
      </c>
      <c r="F789" s="72">
        <f>'Sales Data'!H788</f>
        <v>25</v>
      </c>
      <c r="G789" s="73"/>
      <c r="H789" s="73">
        <f>(InvoiceDetails[[#This Row],[Qty]]*InvoiceDetails[[#This Row],[Unit price]])-InvoiceDetails[[#This Row],[Discount]]</f>
        <v>23100</v>
      </c>
    </row>
    <row r="790" spans="2:8" ht="34.049999999999997" customHeight="1" x14ac:dyDescent="0.3">
      <c r="B790" s="51" t="str">
        <f>'Sales Data'!C789</f>
        <v>INV-2502-787</v>
      </c>
      <c r="C790" s="31"/>
      <c r="D790" s="16" t="str">
        <f>'Sales Data'!E789</f>
        <v>ED-IND-HL96Q-18</v>
      </c>
      <c r="E790" s="52">
        <f>'Sales Data'!G789</f>
        <v>841</v>
      </c>
      <c r="F790" s="72">
        <f>'Sales Data'!H789</f>
        <v>27</v>
      </c>
      <c r="G790" s="73"/>
      <c r="H790" s="73">
        <f>(InvoiceDetails[[#This Row],[Qty]]*InvoiceDetails[[#This Row],[Unit price]])-InvoiceDetails[[#This Row],[Discount]]</f>
        <v>22707</v>
      </c>
    </row>
    <row r="791" spans="2:8" ht="34.049999999999997" customHeight="1" x14ac:dyDescent="0.3">
      <c r="B791" s="51" t="str">
        <f>'Sales Data'!C790</f>
        <v>INV-2503-788</v>
      </c>
      <c r="C791" s="31"/>
      <c r="D791" s="16" t="str">
        <f>'Sales Data'!E790</f>
        <v>ED-IND-EL85P-37</v>
      </c>
      <c r="E791" s="52">
        <f>'Sales Data'!G790</f>
        <v>741</v>
      </c>
      <c r="F791" s="72">
        <f>'Sales Data'!H790</f>
        <v>23</v>
      </c>
      <c r="G791" s="73"/>
      <c r="H791" s="73">
        <f>(InvoiceDetails[[#This Row],[Qty]]*InvoiceDetails[[#This Row],[Unit price]])-InvoiceDetails[[#This Row],[Discount]]</f>
        <v>17043</v>
      </c>
    </row>
    <row r="792" spans="2:8" ht="34.049999999999997" customHeight="1" x14ac:dyDescent="0.3">
      <c r="B792" s="51" t="str">
        <f>'Sales Data'!C791</f>
        <v>INV-2503-789</v>
      </c>
      <c r="C792" s="31"/>
      <c r="D792" s="16" t="str">
        <f>'Sales Data'!E791</f>
        <v>PC-IND-PL81H-89</v>
      </c>
      <c r="E792" s="52">
        <f>'Sales Data'!G791</f>
        <v>711</v>
      </c>
      <c r="F792" s="72">
        <f>'Sales Data'!H791</f>
        <v>21</v>
      </c>
      <c r="G792" s="73"/>
      <c r="H792" s="73">
        <f>(InvoiceDetails[[#This Row],[Qty]]*InvoiceDetails[[#This Row],[Unit price]])-InvoiceDetails[[#This Row],[Discount]]</f>
        <v>14931</v>
      </c>
    </row>
    <row r="793" spans="2:8" ht="34.049999999999997" customHeight="1" x14ac:dyDescent="0.3">
      <c r="B793" s="51" t="str">
        <f>'Sales Data'!C792</f>
        <v>INV-2503-790</v>
      </c>
      <c r="C793" s="31"/>
      <c r="D793" s="16" t="str">
        <f>'Sales Data'!E792</f>
        <v>ED-IND-PF16V-07</v>
      </c>
      <c r="E793" s="52">
        <f>'Sales Data'!G792</f>
        <v>990</v>
      </c>
      <c r="F793" s="72">
        <f>'Sales Data'!H792</f>
        <v>29</v>
      </c>
      <c r="G793" s="73"/>
      <c r="H793" s="73">
        <f>(InvoiceDetails[[#This Row],[Qty]]*InvoiceDetails[[#This Row],[Unit price]])-InvoiceDetails[[#This Row],[Discount]]</f>
        <v>28710</v>
      </c>
    </row>
    <row r="794" spans="2:8" ht="34.049999999999997" customHeight="1" x14ac:dyDescent="0.3">
      <c r="B794" s="51" t="str">
        <f>'Sales Data'!C793</f>
        <v>INV-2503-791</v>
      </c>
      <c r="C794" s="31"/>
      <c r="D794" s="16" t="str">
        <f>'Sales Data'!E793</f>
        <v>PC-IND-DM94X-36</v>
      </c>
      <c r="E794" s="52">
        <f>'Sales Data'!G793</f>
        <v>932</v>
      </c>
      <c r="F794" s="72">
        <f>'Sales Data'!H793</f>
        <v>27</v>
      </c>
      <c r="G794" s="73"/>
      <c r="H794" s="73">
        <f>(InvoiceDetails[[#This Row],[Qty]]*InvoiceDetails[[#This Row],[Unit price]])-InvoiceDetails[[#This Row],[Discount]]</f>
        <v>25164</v>
      </c>
    </row>
    <row r="795" spans="2:8" ht="34.049999999999997" customHeight="1" x14ac:dyDescent="0.3">
      <c r="B795" s="51" t="str">
        <f>'Sales Data'!C794</f>
        <v>INV-2503-792</v>
      </c>
      <c r="C795" s="31"/>
      <c r="D795" s="16" t="str">
        <f>'Sales Data'!E794</f>
        <v>PC-IND-DE25R-75</v>
      </c>
      <c r="E795" s="52">
        <f>'Sales Data'!G794</f>
        <v>963</v>
      </c>
      <c r="F795" s="72">
        <f>'Sales Data'!H794</f>
        <v>22</v>
      </c>
      <c r="G795" s="73"/>
      <c r="H795" s="73">
        <f>(InvoiceDetails[[#This Row],[Qty]]*InvoiceDetails[[#This Row],[Unit price]])-InvoiceDetails[[#This Row],[Discount]]</f>
        <v>21186</v>
      </c>
    </row>
    <row r="796" spans="2:8" ht="34.049999999999997" customHeight="1" x14ac:dyDescent="0.3">
      <c r="B796" s="51" t="str">
        <f>'Sales Data'!C795</f>
        <v>INV-2503-793</v>
      </c>
      <c r="C796" s="31"/>
      <c r="D796" s="16" t="str">
        <f>'Sales Data'!E795</f>
        <v>ED-IND-CN93Q-67</v>
      </c>
      <c r="E796" s="52">
        <f>'Sales Data'!G795</f>
        <v>936</v>
      </c>
      <c r="F796" s="72">
        <f>'Sales Data'!H795</f>
        <v>25</v>
      </c>
      <c r="G796" s="73"/>
      <c r="H796" s="73">
        <f>(InvoiceDetails[[#This Row],[Qty]]*InvoiceDetails[[#This Row],[Unit price]])-InvoiceDetails[[#This Row],[Discount]]</f>
        <v>23400</v>
      </c>
    </row>
    <row r="797" spans="2:8" ht="34.049999999999997" customHeight="1" x14ac:dyDescent="0.3">
      <c r="B797" s="51" t="str">
        <f>'Sales Data'!C796</f>
        <v>INV-2503-794</v>
      </c>
      <c r="C797" s="31"/>
      <c r="D797" s="16" t="str">
        <f>'Sales Data'!E796</f>
        <v>ED-IND-JA42A-30</v>
      </c>
      <c r="E797" s="52">
        <f>'Sales Data'!G796</f>
        <v>889</v>
      </c>
      <c r="F797" s="72">
        <f>'Sales Data'!H796</f>
        <v>23</v>
      </c>
      <c r="G797" s="73"/>
      <c r="H797" s="73">
        <f>(InvoiceDetails[[#This Row],[Qty]]*InvoiceDetails[[#This Row],[Unit price]])-InvoiceDetails[[#This Row],[Discount]]</f>
        <v>20447</v>
      </c>
    </row>
    <row r="798" spans="2:8" ht="34.049999999999997" customHeight="1" x14ac:dyDescent="0.3">
      <c r="B798" s="51" t="str">
        <f>'Sales Data'!C797</f>
        <v>INV-2503-795</v>
      </c>
      <c r="C798" s="31"/>
      <c r="D798" s="16" t="str">
        <f>'Sales Data'!E797</f>
        <v>ED-IND-NX23U-25</v>
      </c>
      <c r="E798" s="52">
        <f>'Sales Data'!G797</f>
        <v>517</v>
      </c>
      <c r="F798" s="72">
        <f>'Sales Data'!H797</f>
        <v>25</v>
      </c>
      <c r="G798" s="73"/>
      <c r="H798" s="73">
        <f>(InvoiceDetails[[#This Row],[Qty]]*InvoiceDetails[[#This Row],[Unit price]])-InvoiceDetails[[#This Row],[Discount]]</f>
        <v>12925</v>
      </c>
    </row>
    <row r="799" spans="2:8" ht="34.049999999999997" customHeight="1" x14ac:dyDescent="0.3">
      <c r="B799" s="51" t="str">
        <f>'Sales Data'!C798</f>
        <v>INV-2503-796</v>
      </c>
      <c r="C799" s="31"/>
      <c r="D799" s="16" t="str">
        <f>'Sales Data'!E798</f>
        <v>ED-IND-DK71Z-64</v>
      </c>
      <c r="E799" s="52">
        <f>'Sales Data'!G798</f>
        <v>502</v>
      </c>
      <c r="F799" s="72">
        <f>'Sales Data'!H798</f>
        <v>30</v>
      </c>
      <c r="G799" s="73"/>
      <c r="H799" s="73">
        <f>(InvoiceDetails[[#This Row],[Qty]]*InvoiceDetails[[#This Row],[Unit price]])-InvoiceDetails[[#This Row],[Discount]]</f>
        <v>15060</v>
      </c>
    </row>
    <row r="800" spans="2:8" ht="34.049999999999997" customHeight="1" x14ac:dyDescent="0.3">
      <c r="B800" s="51" t="str">
        <f>'Sales Data'!C799</f>
        <v>INV-2503-797</v>
      </c>
      <c r="C800" s="31"/>
      <c r="D800" s="16" t="str">
        <f>'Sales Data'!E799</f>
        <v>ED-IND-OC30Z-09</v>
      </c>
      <c r="E800" s="52">
        <f>'Sales Data'!G799</f>
        <v>794</v>
      </c>
      <c r="F800" s="72">
        <f>'Sales Data'!H799</f>
        <v>24</v>
      </c>
      <c r="G800" s="73"/>
      <c r="H800" s="73">
        <f>(InvoiceDetails[[#This Row],[Qty]]*InvoiceDetails[[#This Row],[Unit price]])-InvoiceDetails[[#This Row],[Discount]]</f>
        <v>19056</v>
      </c>
    </row>
    <row r="801" spans="2:8" ht="34.049999999999997" customHeight="1" x14ac:dyDescent="0.3">
      <c r="B801" s="51" t="str">
        <f>'Sales Data'!C800</f>
        <v>INV-2503-798</v>
      </c>
      <c r="C801" s="31"/>
      <c r="D801" s="16" t="str">
        <f>'Sales Data'!E800</f>
        <v>ED-IND-GR55I-34</v>
      </c>
      <c r="E801" s="52">
        <f>'Sales Data'!G800</f>
        <v>592</v>
      </c>
      <c r="F801" s="72">
        <f>'Sales Data'!H800</f>
        <v>31</v>
      </c>
      <c r="G801" s="73"/>
      <c r="H801" s="73">
        <f>(InvoiceDetails[[#This Row],[Qty]]*InvoiceDetails[[#This Row],[Unit price]])-InvoiceDetails[[#This Row],[Discount]]</f>
        <v>18352</v>
      </c>
    </row>
    <row r="802" spans="2:8" ht="34.049999999999997" customHeight="1" x14ac:dyDescent="0.3">
      <c r="B802" s="51" t="str">
        <f>'Sales Data'!C801</f>
        <v>INV-2503-799</v>
      </c>
      <c r="C802" s="31"/>
      <c r="D802" s="16" t="str">
        <f>'Sales Data'!E801</f>
        <v>ED-IND-YR66S-21</v>
      </c>
      <c r="E802" s="52">
        <f>'Sales Data'!G801</f>
        <v>513</v>
      </c>
      <c r="F802" s="72">
        <f>'Sales Data'!H801</f>
        <v>22</v>
      </c>
      <c r="G802" s="73"/>
      <c r="H802" s="73">
        <f>(InvoiceDetails[[#This Row],[Qty]]*InvoiceDetails[[#This Row],[Unit price]])-InvoiceDetails[[#This Row],[Discount]]</f>
        <v>11286</v>
      </c>
    </row>
    <row r="803" spans="2:8" ht="34.049999999999997" customHeight="1" x14ac:dyDescent="0.3">
      <c r="B803" s="51" t="str">
        <f>'Sales Data'!C802</f>
        <v>INV-2503-800</v>
      </c>
      <c r="C803" s="31"/>
      <c r="D803" s="16" t="str">
        <f>'Sales Data'!E802</f>
        <v>ED-IND-KU39O-48</v>
      </c>
      <c r="E803" s="52">
        <f>'Sales Data'!G802</f>
        <v>976</v>
      </c>
      <c r="F803" s="72">
        <f>'Sales Data'!H802</f>
        <v>31</v>
      </c>
      <c r="G803" s="73"/>
      <c r="H803" s="73">
        <f>(InvoiceDetails[[#This Row],[Qty]]*InvoiceDetails[[#This Row],[Unit price]])-InvoiceDetails[[#This Row],[Discount]]</f>
        <v>30256</v>
      </c>
    </row>
    <row r="804" spans="2:8" ht="34.049999999999997" customHeight="1" x14ac:dyDescent="0.3">
      <c r="B804" s="51" t="str">
        <f>'Sales Data'!C803</f>
        <v>INV-2503-801</v>
      </c>
      <c r="C804" s="31"/>
      <c r="D804" s="16" t="str">
        <f>'Sales Data'!E803</f>
        <v>ED-IND-NE38K-89</v>
      </c>
      <c r="E804" s="52">
        <f>'Sales Data'!G803</f>
        <v>662</v>
      </c>
      <c r="F804" s="72">
        <f>'Sales Data'!H803</f>
        <v>30</v>
      </c>
      <c r="G804" s="73"/>
      <c r="H804" s="73">
        <f>(InvoiceDetails[[#This Row],[Qty]]*InvoiceDetails[[#This Row],[Unit price]])-InvoiceDetails[[#This Row],[Discount]]</f>
        <v>19860</v>
      </c>
    </row>
    <row r="805" spans="2:8" ht="34.049999999999997" customHeight="1" x14ac:dyDescent="0.3">
      <c r="B805" s="51" t="str">
        <f>'Sales Data'!C804</f>
        <v>INV-2503-802</v>
      </c>
      <c r="C805" s="31"/>
      <c r="D805" s="16" t="str">
        <f>'Sales Data'!E804</f>
        <v>ED-IND-NH80K-01</v>
      </c>
      <c r="E805" s="52">
        <f>'Sales Data'!G804</f>
        <v>758</v>
      </c>
      <c r="F805" s="72">
        <f>'Sales Data'!H804</f>
        <v>30</v>
      </c>
      <c r="G805" s="73"/>
      <c r="H805" s="73">
        <f>(InvoiceDetails[[#This Row],[Qty]]*InvoiceDetails[[#This Row],[Unit price]])-InvoiceDetails[[#This Row],[Discount]]</f>
        <v>22740</v>
      </c>
    </row>
    <row r="806" spans="2:8" ht="34.049999999999997" customHeight="1" x14ac:dyDescent="0.3">
      <c r="B806" s="51" t="str">
        <f>'Sales Data'!C805</f>
        <v>INV-2503-803</v>
      </c>
      <c r="C806" s="31"/>
      <c r="D806" s="16" t="str">
        <f>'Sales Data'!E805</f>
        <v>ED-IND-FL75H-02</v>
      </c>
      <c r="E806" s="52">
        <f>'Sales Data'!G805</f>
        <v>875</v>
      </c>
      <c r="F806" s="72">
        <f>'Sales Data'!H805</f>
        <v>29</v>
      </c>
      <c r="G806" s="73"/>
      <c r="H806" s="73">
        <f>(InvoiceDetails[[#This Row],[Qty]]*InvoiceDetails[[#This Row],[Unit price]])-InvoiceDetails[[#This Row],[Discount]]</f>
        <v>25375</v>
      </c>
    </row>
    <row r="807" spans="2:8" ht="34.049999999999997" customHeight="1" x14ac:dyDescent="0.3">
      <c r="B807" s="51" t="str">
        <f>'Sales Data'!C806</f>
        <v>INV-2503-804</v>
      </c>
      <c r="C807" s="31"/>
      <c r="D807" s="16" t="str">
        <f>'Sales Data'!E806</f>
        <v>ED-IND-ZL95M-92</v>
      </c>
      <c r="E807" s="52">
        <f>'Sales Data'!G806</f>
        <v>605</v>
      </c>
      <c r="F807" s="72">
        <f>'Sales Data'!H806</f>
        <v>21</v>
      </c>
      <c r="G807" s="73"/>
      <c r="H807" s="73">
        <f>(InvoiceDetails[[#This Row],[Qty]]*InvoiceDetails[[#This Row],[Unit price]])-InvoiceDetails[[#This Row],[Discount]]</f>
        <v>12705</v>
      </c>
    </row>
    <row r="808" spans="2:8" ht="34.049999999999997" customHeight="1" x14ac:dyDescent="0.3">
      <c r="B808" s="51" t="str">
        <f>'Sales Data'!C807</f>
        <v>INV-2503-805</v>
      </c>
      <c r="C808" s="31"/>
      <c r="D808" s="16" t="str">
        <f>'Sales Data'!E807</f>
        <v>ED-IND-UK84F-51</v>
      </c>
      <c r="E808" s="52">
        <f>'Sales Data'!G807</f>
        <v>671</v>
      </c>
      <c r="F808" s="72">
        <f>'Sales Data'!H807</f>
        <v>22</v>
      </c>
      <c r="G808" s="73"/>
      <c r="H808" s="73">
        <f>(InvoiceDetails[[#This Row],[Qty]]*InvoiceDetails[[#This Row],[Unit price]])-InvoiceDetails[[#This Row],[Discount]]</f>
        <v>14762</v>
      </c>
    </row>
    <row r="809" spans="2:8" ht="34.049999999999997" customHeight="1" x14ac:dyDescent="0.3">
      <c r="B809" s="51" t="str">
        <f>'Sales Data'!C808</f>
        <v>INV-2503-806</v>
      </c>
      <c r="C809" s="31"/>
      <c r="D809" s="16" t="str">
        <f>'Sales Data'!E808</f>
        <v>ED-IND-TM41Y-64</v>
      </c>
      <c r="E809" s="52">
        <f>'Sales Data'!G808</f>
        <v>999</v>
      </c>
      <c r="F809" s="72">
        <f>'Sales Data'!H808</f>
        <v>29</v>
      </c>
      <c r="G809" s="73"/>
      <c r="H809" s="73">
        <f>(InvoiceDetails[[#This Row],[Qty]]*InvoiceDetails[[#This Row],[Unit price]])-InvoiceDetails[[#This Row],[Discount]]</f>
        <v>28971</v>
      </c>
    </row>
    <row r="810" spans="2:8" ht="34.049999999999997" customHeight="1" x14ac:dyDescent="0.3">
      <c r="B810" s="51" t="str">
        <f>'Sales Data'!C809</f>
        <v>INV-2503-807</v>
      </c>
      <c r="C810" s="31"/>
      <c r="D810" s="16" t="str">
        <f>'Sales Data'!E809</f>
        <v>ED-IND-RZ17U-71</v>
      </c>
      <c r="E810" s="52">
        <f>'Sales Data'!G809</f>
        <v>949</v>
      </c>
      <c r="F810" s="72">
        <f>'Sales Data'!H809</f>
        <v>24</v>
      </c>
      <c r="G810" s="73"/>
      <c r="H810" s="73">
        <f>(InvoiceDetails[[#This Row],[Qty]]*InvoiceDetails[[#This Row],[Unit price]])-InvoiceDetails[[#This Row],[Discount]]</f>
        <v>22776</v>
      </c>
    </row>
    <row r="811" spans="2:8" ht="34.049999999999997" customHeight="1" x14ac:dyDescent="0.3">
      <c r="B811" s="51" t="str">
        <f>'Sales Data'!C810</f>
        <v>INV-2503-808</v>
      </c>
      <c r="C811" s="31"/>
      <c r="D811" s="16" t="str">
        <f>'Sales Data'!E810</f>
        <v>ED-IND-DV84C-44</v>
      </c>
      <c r="E811" s="52">
        <f>'Sales Data'!G810</f>
        <v>979</v>
      </c>
      <c r="F811" s="72">
        <f>'Sales Data'!H810</f>
        <v>22</v>
      </c>
      <c r="G811" s="73"/>
      <c r="H811" s="73">
        <f>(InvoiceDetails[[#This Row],[Qty]]*InvoiceDetails[[#This Row],[Unit price]])-InvoiceDetails[[#This Row],[Discount]]</f>
        <v>21538</v>
      </c>
    </row>
    <row r="812" spans="2:8" ht="34.049999999999997" customHeight="1" x14ac:dyDescent="0.3">
      <c r="B812" s="51" t="str">
        <f>'Sales Data'!C811</f>
        <v>INV-2503-809</v>
      </c>
      <c r="C812" s="31"/>
      <c r="D812" s="16" t="str">
        <f>'Sales Data'!E811</f>
        <v>ED-IND-RA14O-95</v>
      </c>
      <c r="E812" s="52">
        <f>'Sales Data'!G811</f>
        <v>793</v>
      </c>
      <c r="F812" s="72">
        <f>'Sales Data'!H811</f>
        <v>28</v>
      </c>
      <c r="G812" s="73"/>
      <c r="H812" s="73">
        <f>(InvoiceDetails[[#This Row],[Qty]]*InvoiceDetails[[#This Row],[Unit price]])-InvoiceDetails[[#This Row],[Discount]]</f>
        <v>22204</v>
      </c>
    </row>
    <row r="813" spans="2:8" ht="34.049999999999997" customHeight="1" x14ac:dyDescent="0.3">
      <c r="B813" s="51" t="str">
        <f>'Sales Data'!C812</f>
        <v>INV-2503-810</v>
      </c>
      <c r="C813" s="31"/>
      <c r="D813" s="16" t="str">
        <f>'Sales Data'!E812</f>
        <v>PC-IND-CC67Q-63</v>
      </c>
      <c r="E813" s="52">
        <f>'Sales Data'!G812</f>
        <v>967</v>
      </c>
      <c r="F813" s="72">
        <f>'Sales Data'!H812</f>
        <v>27</v>
      </c>
      <c r="G813" s="73"/>
      <c r="H813" s="73">
        <f>(InvoiceDetails[[#This Row],[Qty]]*InvoiceDetails[[#This Row],[Unit price]])-InvoiceDetails[[#This Row],[Discount]]</f>
        <v>26109</v>
      </c>
    </row>
    <row r="814" spans="2:8" ht="34.049999999999997" customHeight="1" x14ac:dyDescent="0.3">
      <c r="B814" s="51" t="str">
        <f>'Sales Data'!C813</f>
        <v>INV-2503-811</v>
      </c>
      <c r="C814" s="31"/>
      <c r="D814" s="16" t="str">
        <f>'Sales Data'!E813</f>
        <v>ED-IND-SZ86O-54</v>
      </c>
      <c r="E814" s="52">
        <f>'Sales Data'!G813</f>
        <v>689</v>
      </c>
      <c r="F814" s="72">
        <f>'Sales Data'!H813</f>
        <v>30</v>
      </c>
      <c r="G814" s="73"/>
      <c r="H814" s="73">
        <f>(InvoiceDetails[[#This Row],[Qty]]*InvoiceDetails[[#This Row],[Unit price]])-InvoiceDetails[[#This Row],[Discount]]</f>
        <v>20670</v>
      </c>
    </row>
    <row r="815" spans="2:8" ht="34.049999999999997" customHeight="1" x14ac:dyDescent="0.3">
      <c r="B815" s="51" t="str">
        <f>'Sales Data'!C814</f>
        <v>INV-2503-812</v>
      </c>
      <c r="C815" s="31"/>
      <c r="D815" s="16" t="str">
        <f>'Sales Data'!E814</f>
        <v>ED-IND-HP75E-64</v>
      </c>
      <c r="E815" s="52">
        <f>'Sales Data'!G814</f>
        <v>883</v>
      </c>
      <c r="F815" s="72">
        <f>'Sales Data'!H814</f>
        <v>23</v>
      </c>
      <c r="G815" s="73"/>
      <c r="H815" s="73">
        <f>(InvoiceDetails[[#This Row],[Qty]]*InvoiceDetails[[#This Row],[Unit price]])-InvoiceDetails[[#This Row],[Discount]]</f>
        <v>20309</v>
      </c>
    </row>
    <row r="816" spans="2:8" ht="34.049999999999997" customHeight="1" x14ac:dyDescent="0.3">
      <c r="B816" s="51" t="str">
        <f>'Sales Data'!C815</f>
        <v>INV-2503-813</v>
      </c>
      <c r="C816" s="31"/>
      <c r="D816" s="16" t="str">
        <f>'Sales Data'!E815</f>
        <v>ED-IND-GC37K-21</v>
      </c>
      <c r="E816" s="52">
        <f>'Sales Data'!G815</f>
        <v>687</v>
      </c>
      <c r="F816" s="72">
        <f>'Sales Data'!H815</f>
        <v>24</v>
      </c>
      <c r="G816" s="73"/>
      <c r="H816" s="73">
        <f>(InvoiceDetails[[#This Row],[Qty]]*InvoiceDetails[[#This Row],[Unit price]])-InvoiceDetails[[#This Row],[Discount]]</f>
        <v>16488</v>
      </c>
    </row>
    <row r="817" spans="2:8" ht="34.049999999999997" customHeight="1" x14ac:dyDescent="0.3">
      <c r="B817" s="51" t="str">
        <f>'Sales Data'!C816</f>
        <v>INV-2503-814</v>
      </c>
      <c r="C817" s="31"/>
      <c r="D817" s="16" t="str">
        <f>'Sales Data'!E816</f>
        <v>ED-IND-MQ99B-48</v>
      </c>
      <c r="E817" s="52">
        <f>'Sales Data'!G816</f>
        <v>982</v>
      </c>
      <c r="F817" s="72">
        <f>'Sales Data'!H816</f>
        <v>22</v>
      </c>
      <c r="G817" s="73"/>
      <c r="H817" s="73">
        <f>(InvoiceDetails[[#This Row],[Qty]]*InvoiceDetails[[#This Row],[Unit price]])-InvoiceDetails[[#This Row],[Discount]]</f>
        <v>21604</v>
      </c>
    </row>
    <row r="818" spans="2:8" ht="34.049999999999997" customHeight="1" x14ac:dyDescent="0.3">
      <c r="B818" s="51" t="str">
        <f>'Sales Data'!C817</f>
        <v>INV-2503-815</v>
      </c>
      <c r="C818" s="31"/>
      <c r="D818" s="16" t="str">
        <f>'Sales Data'!E817</f>
        <v>ED-IND-MV55Y-66</v>
      </c>
      <c r="E818" s="52">
        <f>'Sales Data'!G817</f>
        <v>621</v>
      </c>
      <c r="F818" s="72">
        <f>'Sales Data'!H817</f>
        <v>28</v>
      </c>
      <c r="G818" s="73"/>
      <c r="H818" s="73">
        <f>(InvoiceDetails[[#This Row],[Qty]]*InvoiceDetails[[#This Row],[Unit price]])-InvoiceDetails[[#This Row],[Discount]]</f>
        <v>17388</v>
      </c>
    </row>
    <row r="819" spans="2:8" ht="34.049999999999997" customHeight="1" x14ac:dyDescent="0.3">
      <c r="B819" s="51" t="str">
        <f>'Sales Data'!C818</f>
        <v>INV-2503-816</v>
      </c>
      <c r="C819" s="31"/>
      <c r="D819" s="16" t="str">
        <f>'Sales Data'!E818</f>
        <v>PC-IND-XW97A-22</v>
      </c>
      <c r="E819" s="52">
        <f>'Sales Data'!G818</f>
        <v>963</v>
      </c>
      <c r="F819" s="72">
        <f>'Sales Data'!H818</f>
        <v>27</v>
      </c>
      <c r="G819" s="73"/>
      <c r="H819" s="73">
        <f>(InvoiceDetails[[#This Row],[Qty]]*InvoiceDetails[[#This Row],[Unit price]])-InvoiceDetails[[#This Row],[Discount]]</f>
        <v>26001</v>
      </c>
    </row>
    <row r="820" spans="2:8" ht="34.049999999999997" customHeight="1" x14ac:dyDescent="0.3">
      <c r="B820" s="51" t="str">
        <f>'Sales Data'!C819</f>
        <v>INV-2503-817</v>
      </c>
      <c r="C820" s="31"/>
      <c r="D820" s="16" t="str">
        <f>'Sales Data'!E819</f>
        <v>ED-IND-ZP16Y-32</v>
      </c>
      <c r="E820" s="52">
        <f>'Sales Data'!G819</f>
        <v>772</v>
      </c>
      <c r="F820" s="72">
        <f>'Sales Data'!H819</f>
        <v>31</v>
      </c>
      <c r="G820" s="73"/>
      <c r="H820" s="73">
        <f>(InvoiceDetails[[#This Row],[Qty]]*InvoiceDetails[[#This Row],[Unit price]])-InvoiceDetails[[#This Row],[Discount]]</f>
        <v>23932</v>
      </c>
    </row>
    <row r="821" spans="2:8" ht="34.049999999999997" customHeight="1" x14ac:dyDescent="0.3">
      <c r="B821" s="51" t="str">
        <f>'Sales Data'!C820</f>
        <v>INV-2503-818</v>
      </c>
      <c r="C821" s="31"/>
      <c r="D821" s="16" t="str">
        <f>'Sales Data'!E820</f>
        <v>ED-IND-KJ88Q-86</v>
      </c>
      <c r="E821" s="52">
        <f>'Sales Data'!G820</f>
        <v>919</v>
      </c>
      <c r="F821" s="72">
        <f>'Sales Data'!H820</f>
        <v>21</v>
      </c>
      <c r="G821" s="73"/>
      <c r="H821" s="73">
        <f>(InvoiceDetails[[#This Row],[Qty]]*InvoiceDetails[[#This Row],[Unit price]])-InvoiceDetails[[#This Row],[Discount]]</f>
        <v>19299</v>
      </c>
    </row>
  </sheetData>
  <sheetProtection formatCells="0" formatColumns="0" formatRows="0" insertRows="0" deleteRows="0" selectLockedCells="1" sort="0" autoFilter="0" pivotTables="0"/>
  <mergeCells count="2">
    <mergeCell ref="B2:H2"/>
    <mergeCell ref="B1:H1"/>
  </mergeCells>
  <conditionalFormatting sqref="C4:C821">
    <cfRule type="expression" dxfId="0" priority="52">
      <formula>COUNTIF($C$4:$C$821,C4)&gt;25</formula>
    </cfRule>
  </conditionalFormatting>
  <dataValidations count="1">
    <dataValidation type="list" allowBlank="1" showInputMessage="1" showErrorMessage="1" errorTitle="Invalid Data" error="Please select an Invoice from this list. If your Invoice No. isn't shown, check the worksheet named Invoices - Main." sqref="C4:C821" xr:uid="{00000000-0002-0000-0300-000000000000}">
      <formula1>Invoice_No</formula1>
    </dataValidation>
  </dataValidations>
  <printOptions horizontalCentered="1"/>
  <pageMargins left="0.25" right="0.25" top="0.75" bottom="0.75" header="0.3" footer="0.3"/>
  <pageSetup fitToHeight="0" orientation="landscape" r:id="rId1"/>
  <headerFooter differentFirst="1">
    <oddFooter>Page &amp;P of &amp;N</oddFooter>
  </headerFooter>
  <ignoredErrors>
    <ignoredError sqref="H29:H40" emptyCellReference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25E-D1B4-4D00-8197-4F3235223628}">
  <dimension ref="A1:N8"/>
  <sheetViews>
    <sheetView zoomScale="77" workbookViewId="0">
      <selection activeCell="H32" sqref="H32"/>
    </sheetView>
  </sheetViews>
  <sheetFormatPr defaultRowHeight="14.4" x14ac:dyDescent="0.3"/>
  <cols>
    <col min="1" max="1" width="9.5546875" bestFit="1" customWidth="1"/>
    <col min="2" max="2" width="16.21875" bestFit="1" customWidth="1"/>
    <col min="3" max="13" width="12.88671875" bestFit="1" customWidth="1"/>
    <col min="14" max="14" width="14.5546875" bestFit="1" customWidth="1"/>
    <col min="15" max="818" width="10.77734375" bestFit="1" customWidth="1"/>
    <col min="819" max="819" width="6.109375" bestFit="1" customWidth="1"/>
  </cols>
  <sheetData>
    <row r="1" spans="1:14" ht="28.8" x14ac:dyDescent="0.3">
      <c r="A1" s="112" t="s">
        <v>885</v>
      </c>
      <c r="B1" s="112" t="s">
        <v>870</v>
      </c>
    </row>
    <row r="2" spans="1:14" x14ac:dyDescent="0.3">
      <c r="B2" t="s">
        <v>872</v>
      </c>
      <c r="C2" t="s">
        <v>873</v>
      </c>
      <c r="D2" t="s">
        <v>874</v>
      </c>
      <c r="E2" t="s">
        <v>875</v>
      </c>
      <c r="F2" t="s">
        <v>876</v>
      </c>
      <c r="G2" t="s">
        <v>877</v>
      </c>
      <c r="H2" t="s">
        <v>878</v>
      </c>
      <c r="I2" t="s">
        <v>879</v>
      </c>
      <c r="J2" t="s">
        <v>880</v>
      </c>
      <c r="K2" t="s">
        <v>881</v>
      </c>
      <c r="L2" t="s">
        <v>882</v>
      </c>
      <c r="M2" t="s">
        <v>883</v>
      </c>
      <c r="N2" t="s">
        <v>871</v>
      </c>
    </row>
    <row r="3" spans="1:14" ht="28.8" x14ac:dyDescent="0.3">
      <c r="A3" s="112" t="s">
        <v>884</v>
      </c>
    </row>
    <row r="4" spans="1:14" ht="28.8" x14ac:dyDescent="0.3">
      <c r="A4" s="113" t="s">
        <v>868</v>
      </c>
      <c r="B4" s="74">
        <v>336055</v>
      </c>
      <c r="C4" s="74">
        <v>466304</v>
      </c>
      <c r="D4" s="74">
        <v>375298</v>
      </c>
      <c r="E4" s="74">
        <v>460784</v>
      </c>
      <c r="F4" s="74">
        <v>505848</v>
      </c>
      <c r="G4" s="74">
        <v>479313</v>
      </c>
      <c r="H4" s="74">
        <v>500106</v>
      </c>
      <c r="I4" s="74">
        <v>347214</v>
      </c>
      <c r="J4" s="74">
        <v>155252</v>
      </c>
      <c r="K4" s="74">
        <v>162460</v>
      </c>
      <c r="L4" s="74">
        <v>202306</v>
      </c>
      <c r="M4" s="74">
        <v>138474</v>
      </c>
      <c r="N4" s="74">
        <v>4129414</v>
      </c>
    </row>
    <row r="5" spans="1:14" x14ac:dyDescent="0.3">
      <c r="A5" s="25" t="s">
        <v>1706</v>
      </c>
      <c r="B5" s="74">
        <v>336055</v>
      </c>
      <c r="C5" s="74">
        <v>466304</v>
      </c>
      <c r="D5" s="74">
        <v>375298</v>
      </c>
      <c r="E5" s="74">
        <v>460784</v>
      </c>
      <c r="F5" s="74">
        <v>505848</v>
      </c>
      <c r="G5" s="74">
        <v>479313</v>
      </c>
      <c r="H5" s="74">
        <v>500106</v>
      </c>
      <c r="I5" s="74">
        <v>347214</v>
      </c>
      <c r="J5" s="74">
        <v>155252</v>
      </c>
      <c r="K5" s="74">
        <v>162460</v>
      </c>
      <c r="L5" s="74">
        <v>202306</v>
      </c>
      <c r="M5" s="74">
        <v>138474</v>
      </c>
      <c r="N5" s="74">
        <v>4129414</v>
      </c>
    </row>
    <row r="6" spans="1:14" ht="28.8" x14ac:dyDescent="0.3">
      <c r="A6" s="113" t="s">
        <v>869</v>
      </c>
      <c r="B6" s="74">
        <v>260077</v>
      </c>
      <c r="C6" s="74">
        <v>79233</v>
      </c>
      <c r="D6" s="74">
        <v>208213</v>
      </c>
      <c r="E6" s="74">
        <v>131768</v>
      </c>
      <c r="F6" s="74">
        <v>129394</v>
      </c>
      <c r="G6" s="74">
        <v>118769</v>
      </c>
      <c r="H6" s="74">
        <v>93668</v>
      </c>
      <c r="I6" s="74">
        <v>186210</v>
      </c>
      <c r="J6" s="74">
        <v>29556</v>
      </c>
      <c r="K6" s="74">
        <v>138082</v>
      </c>
      <c r="L6" s="74">
        <v>66989</v>
      </c>
      <c r="M6" s="74">
        <v>64735</v>
      </c>
      <c r="N6" s="74">
        <v>1506694</v>
      </c>
    </row>
    <row r="7" spans="1:14" x14ac:dyDescent="0.3">
      <c r="A7" s="25" t="s">
        <v>1706</v>
      </c>
      <c r="B7" s="74">
        <v>260077</v>
      </c>
      <c r="C7" s="74">
        <v>79233</v>
      </c>
      <c r="D7" s="74">
        <v>208213</v>
      </c>
      <c r="E7" s="74">
        <v>131768</v>
      </c>
      <c r="F7" s="74">
        <v>129394</v>
      </c>
      <c r="G7" s="74">
        <v>118769</v>
      </c>
      <c r="H7" s="74">
        <v>93668</v>
      </c>
      <c r="I7" s="74">
        <v>186210</v>
      </c>
      <c r="J7" s="74">
        <v>29556</v>
      </c>
      <c r="K7" s="74">
        <v>138082</v>
      </c>
      <c r="L7" s="74">
        <v>66989</v>
      </c>
      <c r="M7" s="74">
        <v>64735</v>
      </c>
      <c r="N7" s="74">
        <v>1506694</v>
      </c>
    </row>
    <row r="8" spans="1:14" ht="28.8" x14ac:dyDescent="0.3">
      <c r="A8" s="113" t="s">
        <v>871</v>
      </c>
      <c r="B8" s="74">
        <v>596132</v>
      </c>
      <c r="C8" s="74">
        <v>545537</v>
      </c>
      <c r="D8" s="74">
        <v>583511</v>
      </c>
      <c r="E8" s="74">
        <v>592552</v>
      </c>
      <c r="F8" s="74">
        <v>635242</v>
      </c>
      <c r="G8" s="74">
        <v>598082</v>
      </c>
      <c r="H8" s="74">
        <v>593774</v>
      </c>
      <c r="I8" s="74">
        <v>533424</v>
      </c>
      <c r="J8" s="74">
        <v>184808</v>
      </c>
      <c r="K8" s="74">
        <v>300542</v>
      </c>
      <c r="L8" s="74">
        <v>269295</v>
      </c>
      <c r="M8" s="74">
        <v>203209</v>
      </c>
      <c r="N8" s="74">
        <v>5636108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1E1C-F7CF-4884-8944-0A2737602DDD}">
  <dimension ref="A1:C5"/>
  <sheetViews>
    <sheetView zoomScale="70" zoomScaleNormal="70" workbookViewId="0">
      <selection activeCell="J1" sqref="J1"/>
    </sheetView>
  </sheetViews>
  <sheetFormatPr defaultRowHeight="14.4" x14ac:dyDescent="0.3"/>
  <cols>
    <col min="1" max="1" width="9.33203125" bestFit="1" customWidth="1"/>
    <col min="2" max="2" width="16.109375" bestFit="1" customWidth="1"/>
    <col min="3" max="6" width="13.6640625" bestFit="1" customWidth="1"/>
  </cols>
  <sheetData>
    <row r="1" spans="1:3" ht="28.8" x14ac:dyDescent="0.3">
      <c r="A1" s="112" t="s">
        <v>885</v>
      </c>
      <c r="B1" s="112" t="s">
        <v>870</v>
      </c>
    </row>
    <row r="2" spans="1:3" ht="28.8" x14ac:dyDescent="0.3">
      <c r="A2" s="112" t="s">
        <v>884</v>
      </c>
      <c r="B2" t="s">
        <v>1707</v>
      </c>
      <c r="C2" t="s">
        <v>871</v>
      </c>
    </row>
    <row r="3" spans="1:3" ht="28.8" x14ac:dyDescent="0.3">
      <c r="A3" s="113" t="s">
        <v>868</v>
      </c>
      <c r="B3" s="74">
        <v>1412417</v>
      </c>
      <c r="C3" s="74">
        <v>1412417</v>
      </c>
    </row>
    <row r="4" spans="1:3" ht="28.8" x14ac:dyDescent="0.3">
      <c r="A4" s="113" t="s">
        <v>869</v>
      </c>
      <c r="B4" s="74">
        <v>395583</v>
      </c>
      <c r="C4" s="74">
        <v>395583</v>
      </c>
    </row>
    <row r="5" spans="1:3" ht="28.8" x14ac:dyDescent="0.3">
      <c r="A5" s="113" t="s">
        <v>871</v>
      </c>
      <c r="B5" s="74">
        <v>1808000</v>
      </c>
      <c r="C5" s="74">
        <v>1808000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02D5-07CF-42DF-ADF5-C9A56285A4E4}">
  <sheetPr>
    <tabColor rgb="FF0070C0"/>
    <pageSetUpPr fitToPage="1"/>
  </sheetPr>
  <dimension ref="B1:L820"/>
  <sheetViews>
    <sheetView showGridLines="0" topLeftCell="B1" zoomScaleNormal="100" workbookViewId="0">
      <pane ySplit="2" topLeftCell="A3" activePane="bottomLeft" state="frozen"/>
      <selection pane="bottomLeft" activeCell="B2" sqref="B2:K820"/>
    </sheetView>
  </sheetViews>
  <sheetFormatPr defaultColWidth="10.88671875" defaultRowHeight="20.100000000000001" customHeight="1" x14ac:dyDescent="0.3"/>
  <cols>
    <col min="1" max="1" width="2.21875" style="53" customWidth="1"/>
    <col min="2" max="2" width="26.6640625" style="110" customWidth="1"/>
    <col min="3" max="3" width="26.6640625" style="53" customWidth="1"/>
    <col min="4" max="4" width="30.77734375" style="68" customWidth="1"/>
    <col min="5" max="5" width="23.109375" style="53" customWidth="1"/>
    <col min="6" max="6" width="36.88671875" style="53" bestFit="1" customWidth="1"/>
    <col min="7" max="7" width="14.44140625" style="53" customWidth="1"/>
    <col min="8" max="8" width="14.44140625" style="67" customWidth="1"/>
    <col min="9" max="9" width="19.33203125" style="67" customWidth="1"/>
    <col min="10" max="10" width="18" style="68" customWidth="1"/>
    <col min="11" max="11" width="25.6640625" style="53" customWidth="1"/>
    <col min="12" max="12" width="2.21875" style="53" customWidth="1"/>
    <col min="13" max="16384" width="10.88671875" style="53"/>
  </cols>
  <sheetData>
    <row r="1" spans="2:12" ht="122.4" customHeight="1" x14ac:dyDescent="0.3">
      <c r="B1" s="108"/>
      <c r="C1" s="54"/>
      <c r="D1" s="55"/>
      <c r="E1" s="54"/>
      <c r="F1" s="54"/>
      <c r="G1" s="54"/>
      <c r="H1" s="56"/>
      <c r="I1" s="56"/>
      <c r="J1" s="55"/>
      <c r="K1" s="54"/>
      <c r="L1" s="53" t="s">
        <v>28</v>
      </c>
    </row>
    <row r="2" spans="2:12" ht="30" customHeight="1" x14ac:dyDescent="0.3">
      <c r="B2" s="109" t="s">
        <v>29</v>
      </c>
      <c r="C2" s="57" t="s">
        <v>30</v>
      </c>
      <c r="D2" s="58" t="s">
        <v>31</v>
      </c>
      <c r="E2" s="59" t="s">
        <v>32</v>
      </c>
      <c r="F2" s="59" t="s">
        <v>47</v>
      </c>
      <c r="G2" s="59" t="s">
        <v>33</v>
      </c>
      <c r="H2" s="60" t="s">
        <v>14</v>
      </c>
      <c r="I2" s="60" t="s">
        <v>17</v>
      </c>
      <c r="J2" s="58" t="s">
        <v>34</v>
      </c>
      <c r="K2" s="61" t="s">
        <v>35</v>
      </c>
    </row>
    <row r="3" spans="2:12" ht="20.100000000000001" customHeight="1" x14ac:dyDescent="0.3">
      <c r="B3" s="62">
        <v>44930</v>
      </c>
      <c r="C3" s="63" t="s">
        <v>886</v>
      </c>
      <c r="D3" s="64">
        <v>123456789</v>
      </c>
      <c r="E3" s="65" t="s">
        <v>50</v>
      </c>
      <c r="F3" s="53" t="s">
        <v>868</v>
      </c>
      <c r="G3" s="66">
        <v>925</v>
      </c>
      <c r="H3" s="67">
        <v>28</v>
      </c>
      <c r="I3" s="67">
        <v>25900</v>
      </c>
      <c r="J3" s="68">
        <v>123456789</v>
      </c>
      <c r="K3" s="69" t="s">
        <v>887</v>
      </c>
    </row>
    <row r="4" spans="2:12" ht="20.100000000000001" customHeight="1" x14ac:dyDescent="0.3">
      <c r="B4" s="62">
        <v>44931</v>
      </c>
      <c r="C4" s="63" t="s">
        <v>888</v>
      </c>
      <c r="D4" s="64">
        <v>123456790</v>
      </c>
      <c r="E4" s="70" t="s">
        <v>51</v>
      </c>
      <c r="F4" s="111" t="s">
        <v>869</v>
      </c>
      <c r="G4" s="66">
        <v>717</v>
      </c>
      <c r="H4" s="67">
        <v>30</v>
      </c>
      <c r="I4" s="67">
        <v>21510</v>
      </c>
      <c r="J4" s="68">
        <v>123456789</v>
      </c>
      <c r="K4" s="69" t="s">
        <v>889</v>
      </c>
    </row>
    <row r="5" spans="2:12" ht="20.100000000000001" customHeight="1" x14ac:dyDescent="0.3">
      <c r="B5" s="62">
        <v>44932</v>
      </c>
      <c r="C5" s="63" t="s">
        <v>890</v>
      </c>
      <c r="D5" s="64">
        <v>123456791</v>
      </c>
      <c r="E5" s="65" t="s">
        <v>52</v>
      </c>
      <c r="F5" s="53" t="s">
        <v>868</v>
      </c>
      <c r="G5" s="66">
        <v>502</v>
      </c>
      <c r="H5" s="67">
        <v>26</v>
      </c>
      <c r="I5" s="67">
        <v>13052</v>
      </c>
      <c r="J5" s="68">
        <v>123456789</v>
      </c>
      <c r="K5" s="69" t="s">
        <v>887</v>
      </c>
    </row>
    <row r="6" spans="2:12" ht="20.100000000000001" customHeight="1" x14ac:dyDescent="0.3">
      <c r="B6" s="62">
        <v>44933</v>
      </c>
      <c r="C6" s="63" t="s">
        <v>891</v>
      </c>
      <c r="D6" s="64">
        <v>123456792</v>
      </c>
      <c r="E6" s="70" t="s">
        <v>53</v>
      </c>
      <c r="F6" s="111" t="s">
        <v>868</v>
      </c>
      <c r="G6" s="66">
        <v>914</v>
      </c>
      <c r="H6" s="67">
        <v>25</v>
      </c>
      <c r="I6" s="67">
        <v>22850</v>
      </c>
      <c r="J6" s="68">
        <v>123456789</v>
      </c>
      <c r="K6" s="69" t="s">
        <v>889</v>
      </c>
    </row>
    <row r="7" spans="2:12" ht="20.100000000000001" customHeight="1" x14ac:dyDescent="0.3">
      <c r="B7" s="62">
        <v>44934</v>
      </c>
      <c r="C7" s="63" t="s">
        <v>892</v>
      </c>
      <c r="D7" s="64">
        <v>123456793</v>
      </c>
      <c r="E7" s="65" t="s">
        <v>54</v>
      </c>
      <c r="F7" s="53" t="s">
        <v>868</v>
      </c>
      <c r="G7" s="66">
        <v>542</v>
      </c>
      <c r="H7" s="67">
        <v>25</v>
      </c>
      <c r="I7" s="67">
        <v>13550</v>
      </c>
      <c r="J7" s="68">
        <v>123456789</v>
      </c>
      <c r="K7" s="69" t="s">
        <v>889</v>
      </c>
    </row>
    <row r="8" spans="2:12" ht="20.100000000000001" customHeight="1" x14ac:dyDescent="0.3">
      <c r="B8" s="62">
        <v>44935</v>
      </c>
      <c r="C8" s="63" t="s">
        <v>893</v>
      </c>
      <c r="D8" s="64">
        <v>123456794</v>
      </c>
      <c r="E8" s="70" t="s">
        <v>55</v>
      </c>
      <c r="F8" s="111" t="s">
        <v>868</v>
      </c>
      <c r="G8" s="66">
        <v>854</v>
      </c>
      <c r="H8" s="67">
        <v>23</v>
      </c>
      <c r="I8" s="67">
        <v>19642</v>
      </c>
      <c r="J8" s="68">
        <v>123456789</v>
      </c>
      <c r="K8" s="69" t="s">
        <v>887</v>
      </c>
    </row>
    <row r="9" spans="2:12" ht="20.100000000000001" customHeight="1" x14ac:dyDescent="0.3">
      <c r="B9" s="62">
        <v>44936</v>
      </c>
      <c r="C9" s="63" t="s">
        <v>894</v>
      </c>
      <c r="D9" s="64">
        <v>123456795</v>
      </c>
      <c r="E9" s="65" t="s">
        <v>56</v>
      </c>
      <c r="F9" s="53" t="s">
        <v>868</v>
      </c>
      <c r="G9" s="66">
        <v>677</v>
      </c>
      <c r="H9" s="67">
        <v>24</v>
      </c>
      <c r="I9" s="67">
        <v>16248</v>
      </c>
      <c r="J9" s="68">
        <v>123456789</v>
      </c>
      <c r="K9" s="69" t="s">
        <v>887</v>
      </c>
    </row>
    <row r="10" spans="2:12" ht="20.100000000000001" customHeight="1" x14ac:dyDescent="0.3">
      <c r="B10" s="62">
        <v>44937</v>
      </c>
      <c r="C10" s="63" t="s">
        <v>895</v>
      </c>
      <c r="D10" s="64">
        <v>123456796</v>
      </c>
      <c r="E10" s="70" t="s">
        <v>57</v>
      </c>
      <c r="F10" s="111" t="s">
        <v>868</v>
      </c>
      <c r="G10" s="66">
        <v>706</v>
      </c>
      <c r="H10" s="67">
        <v>26</v>
      </c>
      <c r="I10" s="67">
        <v>18356</v>
      </c>
      <c r="J10" s="68">
        <v>123456789</v>
      </c>
      <c r="K10" s="69" t="s">
        <v>887</v>
      </c>
    </row>
    <row r="11" spans="2:12" ht="20.100000000000001" customHeight="1" x14ac:dyDescent="0.3">
      <c r="B11" s="62">
        <v>44938</v>
      </c>
      <c r="C11" s="63" t="s">
        <v>896</v>
      </c>
      <c r="D11" s="64">
        <v>123456797</v>
      </c>
      <c r="E11" s="65" t="s">
        <v>58</v>
      </c>
      <c r="F11" s="53" t="s">
        <v>868</v>
      </c>
      <c r="G11" s="66">
        <v>877</v>
      </c>
      <c r="H11" s="67">
        <v>26</v>
      </c>
      <c r="I11" s="67">
        <v>22802</v>
      </c>
      <c r="J11" s="68">
        <v>123456789</v>
      </c>
      <c r="K11" s="69" t="s">
        <v>887</v>
      </c>
    </row>
    <row r="12" spans="2:12" ht="20.100000000000001" customHeight="1" x14ac:dyDescent="0.3">
      <c r="B12" s="62">
        <v>44939</v>
      </c>
      <c r="C12" s="63" t="s">
        <v>897</v>
      </c>
      <c r="D12" s="64">
        <v>123456798</v>
      </c>
      <c r="E12" s="70" t="s">
        <v>59</v>
      </c>
      <c r="F12" s="111" t="s">
        <v>868</v>
      </c>
      <c r="G12" s="66">
        <v>635</v>
      </c>
      <c r="H12" s="67">
        <v>22</v>
      </c>
      <c r="I12" s="67">
        <v>13970</v>
      </c>
      <c r="J12" s="68">
        <v>123456789</v>
      </c>
      <c r="K12" s="69" t="s">
        <v>889</v>
      </c>
    </row>
    <row r="13" spans="2:12" ht="20.100000000000001" customHeight="1" x14ac:dyDescent="0.3">
      <c r="B13" s="62">
        <v>44940</v>
      </c>
      <c r="C13" s="63" t="s">
        <v>898</v>
      </c>
      <c r="D13" s="64">
        <v>123456799</v>
      </c>
      <c r="E13" s="65" t="s">
        <v>60</v>
      </c>
      <c r="F13" s="53" t="s">
        <v>868</v>
      </c>
      <c r="G13" s="66">
        <v>809</v>
      </c>
      <c r="H13" s="67">
        <v>31</v>
      </c>
      <c r="I13" s="67">
        <v>25079</v>
      </c>
      <c r="J13" s="68">
        <v>123456789</v>
      </c>
      <c r="K13" s="69" t="s">
        <v>887</v>
      </c>
    </row>
    <row r="14" spans="2:12" ht="20.100000000000001" customHeight="1" x14ac:dyDescent="0.3">
      <c r="B14" s="62">
        <v>44941</v>
      </c>
      <c r="C14" s="63" t="s">
        <v>899</v>
      </c>
      <c r="D14" s="64">
        <v>123456800</v>
      </c>
      <c r="E14" s="70" t="s">
        <v>61</v>
      </c>
      <c r="F14" s="111" t="s">
        <v>869</v>
      </c>
      <c r="G14" s="66">
        <v>994</v>
      </c>
      <c r="H14" s="67">
        <v>27</v>
      </c>
      <c r="I14" s="67">
        <v>26838</v>
      </c>
      <c r="J14" s="68">
        <v>123456789</v>
      </c>
      <c r="K14" s="69" t="s">
        <v>889</v>
      </c>
    </row>
    <row r="15" spans="2:12" ht="20.100000000000001" customHeight="1" x14ac:dyDescent="0.3">
      <c r="B15" s="62">
        <v>44942</v>
      </c>
      <c r="C15" s="63" t="s">
        <v>900</v>
      </c>
      <c r="D15" s="64">
        <v>123456801</v>
      </c>
      <c r="E15" s="65" t="s">
        <v>62</v>
      </c>
      <c r="F15" s="53" t="s">
        <v>869</v>
      </c>
      <c r="G15" s="66">
        <v>871</v>
      </c>
      <c r="H15" s="67">
        <v>23</v>
      </c>
      <c r="I15" s="67">
        <v>20033</v>
      </c>
      <c r="J15" s="68">
        <v>123456789</v>
      </c>
      <c r="K15" s="69" t="s">
        <v>887</v>
      </c>
    </row>
    <row r="16" spans="2:12" ht="20.100000000000001" customHeight="1" x14ac:dyDescent="0.3">
      <c r="B16" s="62">
        <v>44943</v>
      </c>
      <c r="C16" s="63" t="s">
        <v>901</v>
      </c>
      <c r="D16" s="64">
        <v>123456802</v>
      </c>
      <c r="E16" s="70" t="s">
        <v>63</v>
      </c>
      <c r="F16" s="111" t="s">
        <v>868</v>
      </c>
      <c r="G16" s="66">
        <v>708</v>
      </c>
      <c r="H16" s="67">
        <v>28</v>
      </c>
      <c r="I16" s="67">
        <v>19824</v>
      </c>
      <c r="J16" s="68">
        <v>123456789</v>
      </c>
      <c r="K16" s="69" t="s">
        <v>889</v>
      </c>
    </row>
    <row r="17" spans="2:11" ht="20.100000000000001" customHeight="1" x14ac:dyDescent="0.3">
      <c r="B17" s="62">
        <v>44944</v>
      </c>
      <c r="C17" s="63" t="s">
        <v>902</v>
      </c>
      <c r="D17" s="64">
        <v>123456803</v>
      </c>
      <c r="E17" s="65" t="s">
        <v>64</v>
      </c>
      <c r="F17" s="53" t="s">
        <v>868</v>
      </c>
      <c r="G17" s="66">
        <v>555</v>
      </c>
      <c r="H17" s="67">
        <v>25</v>
      </c>
      <c r="I17" s="67">
        <v>13875</v>
      </c>
      <c r="J17" s="68">
        <v>123456789</v>
      </c>
      <c r="K17" s="69" t="s">
        <v>889</v>
      </c>
    </row>
    <row r="18" spans="2:11" ht="20.100000000000001" customHeight="1" x14ac:dyDescent="0.3">
      <c r="B18" s="62">
        <v>44945</v>
      </c>
      <c r="C18" s="63" t="s">
        <v>903</v>
      </c>
      <c r="D18" s="64">
        <v>123456804</v>
      </c>
      <c r="E18" s="70" t="s">
        <v>65</v>
      </c>
      <c r="F18" s="111" t="s">
        <v>869</v>
      </c>
      <c r="G18" s="66">
        <v>875</v>
      </c>
      <c r="H18" s="67">
        <v>27</v>
      </c>
      <c r="I18" s="67">
        <v>23625</v>
      </c>
      <c r="J18" s="68">
        <v>123456789</v>
      </c>
      <c r="K18" s="69" t="s">
        <v>887</v>
      </c>
    </row>
    <row r="19" spans="2:11" ht="20.100000000000001" customHeight="1" x14ac:dyDescent="0.3">
      <c r="B19" s="62">
        <v>44946</v>
      </c>
      <c r="C19" s="63" t="s">
        <v>904</v>
      </c>
      <c r="D19" s="64">
        <v>123456805</v>
      </c>
      <c r="E19" s="65" t="s">
        <v>66</v>
      </c>
      <c r="F19" s="53" t="s">
        <v>868</v>
      </c>
      <c r="G19" s="66">
        <v>749</v>
      </c>
      <c r="H19" s="67">
        <v>26</v>
      </c>
      <c r="I19" s="67">
        <v>19474</v>
      </c>
      <c r="J19" s="68">
        <v>123456789</v>
      </c>
      <c r="K19" s="69" t="s">
        <v>889</v>
      </c>
    </row>
    <row r="20" spans="2:11" ht="20.100000000000001" customHeight="1" x14ac:dyDescent="0.3">
      <c r="B20" s="62">
        <v>44947</v>
      </c>
      <c r="C20" s="63" t="s">
        <v>905</v>
      </c>
      <c r="D20" s="64">
        <v>123456806</v>
      </c>
      <c r="E20" s="70" t="s">
        <v>67</v>
      </c>
      <c r="F20" s="111" t="s">
        <v>868</v>
      </c>
      <c r="G20" s="66">
        <v>970</v>
      </c>
      <c r="H20" s="67">
        <v>30</v>
      </c>
      <c r="I20" s="67">
        <v>29100</v>
      </c>
      <c r="J20" s="68">
        <v>123456789</v>
      </c>
      <c r="K20" s="69" t="s">
        <v>887</v>
      </c>
    </row>
    <row r="21" spans="2:11" ht="20.100000000000001" customHeight="1" x14ac:dyDescent="0.3">
      <c r="B21" s="62">
        <v>44948</v>
      </c>
      <c r="C21" s="63" t="s">
        <v>906</v>
      </c>
      <c r="D21" s="64">
        <v>123456807</v>
      </c>
      <c r="E21" s="65" t="s">
        <v>68</v>
      </c>
      <c r="F21" s="53" t="s">
        <v>868</v>
      </c>
      <c r="G21" s="66">
        <v>791</v>
      </c>
      <c r="H21" s="67">
        <v>27</v>
      </c>
      <c r="I21" s="67">
        <v>21357</v>
      </c>
      <c r="J21" s="68">
        <v>123456789</v>
      </c>
      <c r="K21" s="69" t="s">
        <v>889</v>
      </c>
    </row>
    <row r="22" spans="2:11" ht="20.100000000000001" customHeight="1" x14ac:dyDescent="0.3">
      <c r="B22" s="62">
        <v>44949</v>
      </c>
      <c r="C22" s="63" t="s">
        <v>907</v>
      </c>
      <c r="D22" s="64">
        <v>123456808</v>
      </c>
      <c r="E22" s="70" t="s">
        <v>69</v>
      </c>
      <c r="F22" s="111" t="s">
        <v>868</v>
      </c>
      <c r="G22" s="66">
        <v>926</v>
      </c>
      <c r="H22" s="67">
        <v>21</v>
      </c>
      <c r="I22" s="67">
        <v>19446</v>
      </c>
      <c r="J22" s="68">
        <v>123456789</v>
      </c>
      <c r="K22" s="69" t="s">
        <v>887</v>
      </c>
    </row>
    <row r="23" spans="2:11" ht="20.100000000000001" customHeight="1" x14ac:dyDescent="0.3">
      <c r="B23" s="62">
        <v>44950</v>
      </c>
      <c r="C23" s="63" t="s">
        <v>908</v>
      </c>
      <c r="D23" s="64">
        <v>123456809</v>
      </c>
      <c r="E23" s="65" t="s">
        <v>70</v>
      </c>
      <c r="F23" s="53" t="s">
        <v>868</v>
      </c>
      <c r="G23" s="66">
        <v>543</v>
      </c>
      <c r="H23" s="67">
        <v>22</v>
      </c>
      <c r="I23" s="67">
        <v>11946</v>
      </c>
      <c r="J23" s="68">
        <v>123456789</v>
      </c>
      <c r="K23" s="69" t="s">
        <v>887</v>
      </c>
    </row>
    <row r="24" spans="2:11" ht="20.100000000000001" customHeight="1" x14ac:dyDescent="0.3">
      <c r="B24" s="62">
        <v>44951</v>
      </c>
      <c r="C24" s="63" t="s">
        <v>909</v>
      </c>
      <c r="D24" s="64">
        <v>123456810</v>
      </c>
      <c r="E24" s="70" t="s">
        <v>71</v>
      </c>
      <c r="F24" s="111" t="s">
        <v>869</v>
      </c>
      <c r="G24" s="66">
        <v>822</v>
      </c>
      <c r="H24" s="67">
        <v>30</v>
      </c>
      <c r="I24" s="67">
        <v>24660</v>
      </c>
      <c r="J24" s="68">
        <v>123456789</v>
      </c>
      <c r="K24" s="69" t="s">
        <v>887</v>
      </c>
    </row>
    <row r="25" spans="2:11" ht="20.100000000000001" customHeight="1" x14ac:dyDescent="0.3">
      <c r="B25" s="62">
        <v>44952</v>
      </c>
      <c r="C25" s="63" t="s">
        <v>910</v>
      </c>
      <c r="D25" s="64">
        <v>123456811</v>
      </c>
      <c r="E25" s="65" t="s">
        <v>72</v>
      </c>
      <c r="F25" s="53" t="s">
        <v>868</v>
      </c>
      <c r="G25" s="66">
        <v>508</v>
      </c>
      <c r="H25" s="67">
        <v>26</v>
      </c>
      <c r="I25" s="67">
        <v>13208</v>
      </c>
      <c r="J25" s="68">
        <v>123456789</v>
      </c>
      <c r="K25" s="69" t="s">
        <v>887</v>
      </c>
    </row>
    <row r="26" spans="2:11" ht="20.100000000000001" customHeight="1" x14ac:dyDescent="0.3">
      <c r="B26" s="62">
        <v>44953</v>
      </c>
      <c r="C26" s="63" t="s">
        <v>911</v>
      </c>
      <c r="D26" s="64">
        <v>123456812</v>
      </c>
      <c r="E26" s="70" t="s">
        <v>73</v>
      </c>
      <c r="F26" s="111" t="s">
        <v>868</v>
      </c>
      <c r="G26" s="66">
        <v>620</v>
      </c>
      <c r="H26" s="67">
        <v>30</v>
      </c>
      <c r="I26" s="67">
        <v>18600</v>
      </c>
      <c r="J26" s="68">
        <v>123456789</v>
      </c>
      <c r="K26" s="69" t="s">
        <v>887</v>
      </c>
    </row>
    <row r="27" spans="2:11" ht="20.100000000000001" customHeight="1" x14ac:dyDescent="0.3">
      <c r="B27" s="62">
        <v>44954</v>
      </c>
      <c r="C27" s="63" t="s">
        <v>912</v>
      </c>
      <c r="D27" s="64">
        <v>123456813</v>
      </c>
      <c r="E27" s="65" t="s">
        <v>74</v>
      </c>
      <c r="F27" s="53" t="s">
        <v>868</v>
      </c>
      <c r="G27" s="66">
        <v>892</v>
      </c>
      <c r="H27" s="67">
        <v>25</v>
      </c>
      <c r="I27" s="67">
        <v>22300</v>
      </c>
      <c r="J27" s="68">
        <v>123456789</v>
      </c>
      <c r="K27" s="69" t="s">
        <v>887</v>
      </c>
    </row>
    <row r="28" spans="2:11" ht="20.100000000000001" customHeight="1" x14ac:dyDescent="0.3">
      <c r="B28" s="62">
        <v>44955</v>
      </c>
      <c r="C28" s="63" t="s">
        <v>913</v>
      </c>
      <c r="D28" s="64">
        <v>123456814</v>
      </c>
      <c r="E28" s="70" t="s">
        <v>75</v>
      </c>
      <c r="F28" s="111" t="s">
        <v>869</v>
      </c>
      <c r="G28" s="66">
        <v>585</v>
      </c>
      <c r="H28" s="67">
        <v>24</v>
      </c>
      <c r="I28" s="67">
        <v>14040</v>
      </c>
      <c r="J28" s="68">
        <v>123456789</v>
      </c>
      <c r="K28" s="69" t="s">
        <v>887</v>
      </c>
    </row>
    <row r="29" spans="2:11" ht="20.100000000000001" customHeight="1" x14ac:dyDescent="0.3">
      <c r="B29" s="62">
        <v>44956</v>
      </c>
      <c r="C29" s="63" t="s">
        <v>914</v>
      </c>
      <c r="D29" s="64">
        <v>123456815</v>
      </c>
      <c r="E29" s="65" t="s">
        <v>76</v>
      </c>
      <c r="F29" s="53" t="s">
        <v>868</v>
      </c>
      <c r="G29" s="66">
        <v>511</v>
      </c>
      <c r="H29" s="67">
        <v>21</v>
      </c>
      <c r="I29" s="67">
        <v>10731</v>
      </c>
      <c r="J29" s="68">
        <v>123456789</v>
      </c>
      <c r="K29" s="69" t="s">
        <v>887</v>
      </c>
    </row>
    <row r="30" spans="2:11" ht="20.100000000000001" customHeight="1" x14ac:dyDescent="0.3">
      <c r="B30" s="62">
        <v>44957</v>
      </c>
      <c r="C30" s="63" t="s">
        <v>915</v>
      </c>
      <c r="D30" s="64">
        <v>123456816</v>
      </c>
      <c r="E30" s="70" t="s">
        <v>77</v>
      </c>
      <c r="F30" s="111" t="s">
        <v>868</v>
      </c>
      <c r="G30" s="66">
        <v>800</v>
      </c>
      <c r="H30" s="67">
        <v>31</v>
      </c>
      <c r="I30" s="67">
        <v>24800</v>
      </c>
      <c r="J30" s="68">
        <v>123456789</v>
      </c>
      <c r="K30" s="69" t="s">
        <v>887</v>
      </c>
    </row>
    <row r="31" spans="2:11" ht="20.100000000000001" customHeight="1" x14ac:dyDescent="0.3">
      <c r="B31" s="62">
        <v>44958</v>
      </c>
      <c r="C31" s="63" t="s">
        <v>916</v>
      </c>
      <c r="D31" s="64">
        <v>123456817</v>
      </c>
      <c r="E31" s="65" t="s">
        <v>78</v>
      </c>
      <c r="F31" s="53" t="s">
        <v>868</v>
      </c>
      <c r="G31" s="66">
        <v>994</v>
      </c>
      <c r="H31" s="67">
        <v>21</v>
      </c>
      <c r="I31" s="67">
        <v>20874</v>
      </c>
      <c r="J31" s="68">
        <v>123456789</v>
      </c>
      <c r="K31" s="69" t="s">
        <v>887</v>
      </c>
    </row>
    <row r="32" spans="2:11" ht="20.100000000000001" customHeight="1" x14ac:dyDescent="0.3">
      <c r="B32" s="62">
        <v>44959</v>
      </c>
      <c r="C32" s="63" t="s">
        <v>917</v>
      </c>
      <c r="D32" s="64">
        <v>123456818</v>
      </c>
      <c r="E32" s="70" t="s">
        <v>79</v>
      </c>
      <c r="F32" s="111" t="s">
        <v>868</v>
      </c>
      <c r="G32" s="66">
        <v>533</v>
      </c>
      <c r="H32" s="67">
        <v>26</v>
      </c>
      <c r="I32" s="67">
        <v>13858</v>
      </c>
      <c r="J32" s="68">
        <v>123456789</v>
      </c>
      <c r="K32" s="69" t="s">
        <v>887</v>
      </c>
    </row>
    <row r="33" spans="2:11" ht="20.100000000000001" customHeight="1" x14ac:dyDescent="0.3">
      <c r="B33" s="62">
        <v>44960</v>
      </c>
      <c r="C33" s="63" t="s">
        <v>918</v>
      </c>
      <c r="D33" s="64">
        <v>123456819</v>
      </c>
      <c r="E33" s="65" t="s">
        <v>80</v>
      </c>
      <c r="F33" s="53" t="s">
        <v>868</v>
      </c>
      <c r="G33" s="66">
        <v>998</v>
      </c>
      <c r="H33" s="67">
        <v>29</v>
      </c>
      <c r="I33" s="67">
        <v>28942</v>
      </c>
      <c r="J33" s="68">
        <v>123456789</v>
      </c>
      <c r="K33" s="69" t="s">
        <v>887</v>
      </c>
    </row>
    <row r="34" spans="2:11" ht="20.100000000000001" customHeight="1" x14ac:dyDescent="0.3">
      <c r="B34" s="62">
        <v>44961</v>
      </c>
      <c r="C34" s="63" t="s">
        <v>919</v>
      </c>
      <c r="D34" s="64">
        <v>123456820</v>
      </c>
      <c r="E34" s="70" t="s">
        <v>81</v>
      </c>
      <c r="F34" s="111" t="s">
        <v>868</v>
      </c>
      <c r="G34" s="66">
        <v>851</v>
      </c>
      <c r="H34" s="67">
        <v>24</v>
      </c>
      <c r="I34" s="67">
        <v>20424</v>
      </c>
      <c r="J34" s="68">
        <v>123456789</v>
      </c>
      <c r="K34" s="69" t="s">
        <v>887</v>
      </c>
    </row>
    <row r="35" spans="2:11" ht="20.100000000000001" customHeight="1" x14ac:dyDescent="0.3">
      <c r="B35" s="62">
        <v>44962</v>
      </c>
      <c r="C35" s="63" t="s">
        <v>920</v>
      </c>
      <c r="D35" s="64">
        <v>123456821</v>
      </c>
      <c r="E35" s="65" t="s">
        <v>82</v>
      </c>
      <c r="F35" s="53" t="s">
        <v>868</v>
      </c>
      <c r="G35" s="66">
        <v>919</v>
      </c>
      <c r="H35" s="67">
        <v>21</v>
      </c>
      <c r="I35" s="67">
        <v>19299</v>
      </c>
      <c r="J35" s="68">
        <v>123456789</v>
      </c>
      <c r="K35" s="69" t="s">
        <v>887</v>
      </c>
    </row>
    <row r="36" spans="2:11" ht="20.100000000000001" customHeight="1" x14ac:dyDescent="0.3">
      <c r="B36" s="62">
        <v>44963</v>
      </c>
      <c r="C36" s="63" t="s">
        <v>921</v>
      </c>
      <c r="D36" s="64">
        <v>123456822</v>
      </c>
      <c r="E36" s="70" t="s">
        <v>83</v>
      </c>
      <c r="F36" s="111" t="s">
        <v>868</v>
      </c>
      <c r="G36" s="66">
        <v>924</v>
      </c>
      <c r="H36" s="67">
        <v>29</v>
      </c>
      <c r="I36" s="67">
        <v>26796</v>
      </c>
      <c r="J36" s="68">
        <v>123456789</v>
      </c>
      <c r="K36" s="69" t="s">
        <v>887</v>
      </c>
    </row>
    <row r="37" spans="2:11" ht="20.100000000000001" customHeight="1" x14ac:dyDescent="0.3">
      <c r="B37" s="62">
        <v>44964</v>
      </c>
      <c r="C37" s="63" t="s">
        <v>922</v>
      </c>
      <c r="D37" s="64">
        <v>123456823</v>
      </c>
      <c r="E37" s="65" t="s">
        <v>84</v>
      </c>
      <c r="F37" s="53" t="s">
        <v>869</v>
      </c>
      <c r="G37" s="66">
        <v>716</v>
      </c>
      <c r="H37" s="67">
        <v>30</v>
      </c>
      <c r="I37" s="67">
        <v>21480</v>
      </c>
      <c r="J37" s="68">
        <v>123456789</v>
      </c>
      <c r="K37" s="69" t="s">
        <v>887</v>
      </c>
    </row>
    <row r="38" spans="2:11" ht="20.100000000000001" customHeight="1" x14ac:dyDescent="0.3">
      <c r="B38" s="62">
        <v>44965</v>
      </c>
      <c r="C38" s="63" t="s">
        <v>923</v>
      </c>
      <c r="D38" s="64">
        <v>123456824</v>
      </c>
      <c r="E38" s="70" t="s">
        <v>85</v>
      </c>
      <c r="F38" s="111" t="s">
        <v>868</v>
      </c>
      <c r="G38" s="66">
        <v>820</v>
      </c>
      <c r="H38" s="67">
        <v>28</v>
      </c>
      <c r="I38" s="67">
        <v>22960</v>
      </c>
      <c r="J38" s="68">
        <v>123456789</v>
      </c>
      <c r="K38" s="69" t="s">
        <v>887</v>
      </c>
    </row>
    <row r="39" spans="2:11" ht="20.100000000000001" customHeight="1" x14ac:dyDescent="0.3">
      <c r="B39" s="62">
        <v>44966</v>
      </c>
      <c r="C39" s="63" t="s">
        <v>924</v>
      </c>
      <c r="D39" s="64">
        <v>123456825</v>
      </c>
      <c r="E39" s="65" t="s">
        <v>86</v>
      </c>
      <c r="F39" s="53" t="s">
        <v>868</v>
      </c>
      <c r="G39" s="66">
        <v>993</v>
      </c>
      <c r="H39" s="67">
        <v>31</v>
      </c>
      <c r="I39" s="67">
        <v>30783</v>
      </c>
      <c r="J39" s="68">
        <v>123456789</v>
      </c>
      <c r="K39" s="69" t="s">
        <v>889</v>
      </c>
    </row>
    <row r="40" spans="2:11" ht="20.100000000000001" customHeight="1" x14ac:dyDescent="0.3">
      <c r="B40" s="62">
        <v>44967</v>
      </c>
      <c r="C40" s="63" t="s">
        <v>925</v>
      </c>
      <c r="D40" s="64">
        <v>123456826</v>
      </c>
      <c r="E40" s="70" t="s">
        <v>87</v>
      </c>
      <c r="F40" s="111" t="s">
        <v>868</v>
      </c>
      <c r="G40" s="66">
        <v>857</v>
      </c>
      <c r="H40" s="67">
        <v>25</v>
      </c>
      <c r="I40" s="67">
        <v>21425</v>
      </c>
      <c r="J40" s="68">
        <v>123456789</v>
      </c>
      <c r="K40" s="69" t="s">
        <v>889</v>
      </c>
    </row>
    <row r="41" spans="2:11" ht="20.100000000000001" customHeight="1" x14ac:dyDescent="0.3">
      <c r="B41" s="62">
        <v>44968</v>
      </c>
      <c r="C41" s="63" t="s">
        <v>926</v>
      </c>
      <c r="D41" s="64">
        <v>123456827</v>
      </c>
      <c r="E41" s="65" t="s">
        <v>88</v>
      </c>
      <c r="F41" s="53" t="s">
        <v>868</v>
      </c>
      <c r="G41" s="66">
        <v>643</v>
      </c>
      <c r="H41" s="67">
        <v>28</v>
      </c>
      <c r="I41" s="67">
        <v>18004</v>
      </c>
      <c r="J41" s="68">
        <v>123456789</v>
      </c>
      <c r="K41" s="69" t="s">
        <v>887</v>
      </c>
    </row>
    <row r="42" spans="2:11" ht="20.100000000000001" customHeight="1" x14ac:dyDescent="0.3">
      <c r="B42" s="62">
        <v>44969</v>
      </c>
      <c r="C42" s="63" t="s">
        <v>927</v>
      </c>
      <c r="D42" s="64">
        <v>123456828</v>
      </c>
      <c r="E42" s="70" t="s">
        <v>89</v>
      </c>
      <c r="F42" s="111" t="s">
        <v>868</v>
      </c>
      <c r="G42" s="66">
        <v>548</v>
      </c>
      <c r="H42" s="67">
        <v>28</v>
      </c>
      <c r="I42" s="67">
        <v>15344</v>
      </c>
      <c r="J42" s="68">
        <v>123456789</v>
      </c>
      <c r="K42" s="69" t="s">
        <v>887</v>
      </c>
    </row>
    <row r="43" spans="2:11" ht="20.100000000000001" customHeight="1" x14ac:dyDescent="0.3">
      <c r="B43" s="62">
        <v>44970</v>
      </c>
      <c r="C43" s="63" t="s">
        <v>928</v>
      </c>
      <c r="D43" s="64">
        <v>123456829</v>
      </c>
      <c r="E43" s="65" t="s">
        <v>90</v>
      </c>
      <c r="F43" s="53" t="s">
        <v>868</v>
      </c>
      <c r="G43" s="66">
        <v>602</v>
      </c>
      <c r="H43" s="67">
        <v>21</v>
      </c>
      <c r="I43" s="67">
        <v>12642</v>
      </c>
      <c r="J43" s="68">
        <v>123456789</v>
      </c>
      <c r="K43" s="69" t="s">
        <v>887</v>
      </c>
    </row>
    <row r="44" spans="2:11" ht="20.100000000000001" customHeight="1" x14ac:dyDescent="0.3">
      <c r="B44" s="62">
        <v>44971</v>
      </c>
      <c r="C44" s="63" t="s">
        <v>929</v>
      </c>
      <c r="D44" s="64">
        <v>123456830</v>
      </c>
      <c r="E44" s="70" t="s">
        <v>91</v>
      </c>
      <c r="F44" s="111" t="s">
        <v>868</v>
      </c>
      <c r="G44" s="66">
        <v>717</v>
      </c>
      <c r="H44" s="67">
        <v>28</v>
      </c>
      <c r="I44" s="67">
        <v>20076</v>
      </c>
      <c r="J44" s="68">
        <v>123456789</v>
      </c>
      <c r="K44" s="69" t="s">
        <v>887</v>
      </c>
    </row>
    <row r="45" spans="2:11" ht="20.100000000000001" customHeight="1" x14ac:dyDescent="0.3">
      <c r="B45" s="62">
        <v>44972</v>
      </c>
      <c r="C45" s="63" t="s">
        <v>930</v>
      </c>
      <c r="D45" s="64">
        <v>123456831</v>
      </c>
      <c r="E45" s="65" t="s">
        <v>92</v>
      </c>
      <c r="F45" s="53" t="s">
        <v>868</v>
      </c>
      <c r="G45" s="66">
        <v>551</v>
      </c>
      <c r="H45" s="67">
        <v>23</v>
      </c>
      <c r="I45" s="67">
        <v>12673</v>
      </c>
      <c r="J45" s="68">
        <v>123456789</v>
      </c>
      <c r="K45" s="69" t="s">
        <v>887</v>
      </c>
    </row>
    <row r="46" spans="2:11" ht="20.100000000000001" customHeight="1" x14ac:dyDescent="0.3">
      <c r="B46" s="62">
        <v>44973</v>
      </c>
      <c r="C46" s="63" t="s">
        <v>931</v>
      </c>
      <c r="D46" s="64">
        <v>123456832</v>
      </c>
      <c r="E46" s="70" t="s">
        <v>93</v>
      </c>
      <c r="F46" s="111" t="s">
        <v>869</v>
      </c>
      <c r="G46" s="66">
        <v>951</v>
      </c>
      <c r="H46" s="67">
        <v>22</v>
      </c>
      <c r="I46" s="67">
        <v>20922</v>
      </c>
      <c r="J46" s="68">
        <v>123456789</v>
      </c>
      <c r="K46" s="69" t="s">
        <v>887</v>
      </c>
    </row>
    <row r="47" spans="2:11" ht="20.100000000000001" customHeight="1" x14ac:dyDescent="0.3">
      <c r="B47" s="62">
        <v>44974</v>
      </c>
      <c r="C47" s="63" t="s">
        <v>932</v>
      </c>
      <c r="D47" s="64">
        <v>123456833</v>
      </c>
      <c r="E47" s="65" t="s">
        <v>94</v>
      </c>
      <c r="F47" s="53" t="s">
        <v>868</v>
      </c>
      <c r="G47" s="66">
        <v>812</v>
      </c>
      <c r="H47" s="67">
        <v>28</v>
      </c>
      <c r="I47" s="67">
        <v>22736</v>
      </c>
      <c r="J47" s="68">
        <v>123456789</v>
      </c>
      <c r="K47" s="69" t="s">
        <v>887</v>
      </c>
    </row>
    <row r="48" spans="2:11" ht="20.100000000000001" customHeight="1" x14ac:dyDescent="0.3">
      <c r="B48" s="62">
        <v>44975</v>
      </c>
      <c r="C48" s="63" t="s">
        <v>933</v>
      </c>
      <c r="D48" s="64">
        <v>123456834</v>
      </c>
      <c r="E48" s="70" t="s">
        <v>95</v>
      </c>
      <c r="F48" s="111" t="s">
        <v>868</v>
      </c>
      <c r="G48" s="66">
        <v>839</v>
      </c>
      <c r="H48" s="67">
        <v>22</v>
      </c>
      <c r="I48" s="67">
        <v>18458</v>
      </c>
      <c r="J48" s="68">
        <v>123456789</v>
      </c>
      <c r="K48" s="69" t="s">
        <v>887</v>
      </c>
    </row>
    <row r="49" spans="2:11" ht="20.100000000000001" customHeight="1" x14ac:dyDescent="0.3">
      <c r="B49" s="62">
        <v>44976</v>
      </c>
      <c r="C49" s="63" t="s">
        <v>934</v>
      </c>
      <c r="D49" s="64">
        <v>123456835</v>
      </c>
      <c r="E49" s="65" t="s">
        <v>96</v>
      </c>
      <c r="F49" s="53" t="s">
        <v>869</v>
      </c>
      <c r="G49" s="66">
        <v>586</v>
      </c>
      <c r="H49" s="67">
        <v>25</v>
      </c>
      <c r="I49" s="67">
        <v>14650</v>
      </c>
      <c r="J49" s="68">
        <v>123456789</v>
      </c>
      <c r="K49" s="69" t="s">
        <v>887</v>
      </c>
    </row>
    <row r="50" spans="2:11" ht="20.100000000000001" customHeight="1" x14ac:dyDescent="0.3">
      <c r="B50" s="62">
        <v>44977</v>
      </c>
      <c r="C50" s="63" t="s">
        <v>935</v>
      </c>
      <c r="D50" s="64">
        <v>123456836</v>
      </c>
      <c r="E50" s="70" t="s">
        <v>97</v>
      </c>
      <c r="F50" s="111" t="s">
        <v>869</v>
      </c>
      <c r="G50" s="66">
        <v>562</v>
      </c>
      <c r="H50" s="67">
        <v>28</v>
      </c>
      <c r="I50" s="67">
        <v>15736</v>
      </c>
      <c r="J50" s="68">
        <v>123456789</v>
      </c>
      <c r="K50" s="69" t="s">
        <v>887</v>
      </c>
    </row>
    <row r="51" spans="2:11" ht="20.100000000000001" customHeight="1" x14ac:dyDescent="0.3">
      <c r="B51" s="62">
        <v>44978</v>
      </c>
      <c r="C51" s="63" t="s">
        <v>936</v>
      </c>
      <c r="D51" s="64">
        <v>123456837</v>
      </c>
      <c r="E51" s="65" t="s">
        <v>98</v>
      </c>
      <c r="F51" s="53" t="s">
        <v>869</v>
      </c>
      <c r="G51" s="66">
        <v>623</v>
      </c>
      <c r="H51" s="67">
        <v>26</v>
      </c>
      <c r="I51" s="67">
        <v>16198</v>
      </c>
      <c r="J51" s="68">
        <v>123456789</v>
      </c>
      <c r="K51" s="69" t="s">
        <v>887</v>
      </c>
    </row>
    <row r="52" spans="2:11" ht="20.100000000000001" customHeight="1" x14ac:dyDescent="0.3">
      <c r="B52" s="62">
        <v>44979</v>
      </c>
      <c r="C52" s="63" t="s">
        <v>937</v>
      </c>
      <c r="D52" s="64">
        <v>123456838</v>
      </c>
      <c r="E52" s="70" t="s">
        <v>99</v>
      </c>
      <c r="F52" s="111" t="s">
        <v>868</v>
      </c>
      <c r="G52" s="66">
        <v>989</v>
      </c>
      <c r="H52" s="67">
        <v>25</v>
      </c>
      <c r="I52" s="67">
        <v>24725</v>
      </c>
      <c r="J52" s="68">
        <v>123456789</v>
      </c>
      <c r="K52" s="69" t="s">
        <v>887</v>
      </c>
    </row>
    <row r="53" spans="2:11" ht="20.100000000000001" customHeight="1" x14ac:dyDescent="0.3">
      <c r="B53" s="62">
        <v>44980</v>
      </c>
      <c r="C53" s="63" t="s">
        <v>938</v>
      </c>
      <c r="D53" s="64">
        <v>123456839</v>
      </c>
      <c r="E53" s="65" t="s">
        <v>100</v>
      </c>
      <c r="F53" s="53" t="s">
        <v>868</v>
      </c>
      <c r="G53" s="66">
        <v>886</v>
      </c>
      <c r="H53" s="67">
        <v>22</v>
      </c>
      <c r="I53" s="67">
        <v>19492</v>
      </c>
      <c r="J53" s="68">
        <v>123456789</v>
      </c>
      <c r="K53" s="69" t="s">
        <v>887</v>
      </c>
    </row>
    <row r="54" spans="2:11" ht="20.100000000000001" customHeight="1" x14ac:dyDescent="0.3">
      <c r="B54" s="62">
        <v>44981</v>
      </c>
      <c r="C54" s="63" t="s">
        <v>939</v>
      </c>
      <c r="D54" s="64">
        <v>123456840</v>
      </c>
      <c r="E54" s="70" t="s">
        <v>101</v>
      </c>
      <c r="F54" s="111" t="s">
        <v>868</v>
      </c>
      <c r="G54" s="66">
        <v>756</v>
      </c>
      <c r="H54" s="67">
        <v>25</v>
      </c>
      <c r="I54" s="67">
        <v>18900</v>
      </c>
      <c r="J54" s="68">
        <v>123456789</v>
      </c>
      <c r="K54" s="69" t="s">
        <v>887</v>
      </c>
    </row>
    <row r="55" spans="2:11" ht="20.100000000000001" customHeight="1" x14ac:dyDescent="0.3">
      <c r="B55" s="62">
        <v>44982</v>
      </c>
      <c r="C55" s="63" t="s">
        <v>940</v>
      </c>
      <c r="D55" s="64">
        <v>123456841</v>
      </c>
      <c r="E55" s="65" t="s">
        <v>102</v>
      </c>
      <c r="F55" s="53" t="s">
        <v>868</v>
      </c>
      <c r="G55" s="66">
        <v>887</v>
      </c>
      <c r="H55" s="67">
        <v>22</v>
      </c>
      <c r="I55" s="67">
        <v>19514</v>
      </c>
      <c r="J55" s="68">
        <v>123456789</v>
      </c>
      <c r="K55" s="69" t="s">
        <v>887</v>
      </c>
    </row>
    <row r="56" spans="2:11" ht="20.100000000000001" customHeight="1" x14ac:dyDescent="0.3">
      <c r="B56" s="62">
        <v>44983</v>
      </c>
      <c r="C56" s="63" t="s">
        <v>941</v>
      </c>
      <c r="D56" s="64">
        <v>123456842</v>
      </c>
      <c r="E56" s="70" t="s">
        <v>103</v>
      </c>
      <c r="F56" s="111" t="s">
        <v>868</v>
      </c>
      <c r="G56" s="66">
        <v>946</v>
      </c>
      <c r="H56" s="67">
        <v>25</v>
      </c>
      <c r="I56" s="67">
        <v>23650</v>
      </c>
      <c r="J56" s="68">
        <v>123456789</v>
      </c>
      <c r="K56" s="69" t="s">
        <v>889</v>
      </c>
    </row>
    <row r="57" spans="2:11" ht="20.100000000000001" customHeight="1" x14ac:dyDescent="0.3">
      <c r="B57" s="62">
        <v>44984</v>
      </c>
      <c r="C57" s="63" t="s">
        <v>942</v>
      </c>
      <c r="D57" s="64">
        <v>123456843</v>
      </c>
      <c r="E57" s="65" t="s">
        <v>104</v>
      </c>
      <c r="F57" s="53" t="s">
        <v>868</v>
      </c>
      <c r="G57" s="66">
        <v>761</v>
      </c>
      <c r="H57" s="67">
        <v>29</v>
      </c>
      <c r="I57" s="67">
        <v>22069</v>
      </c>
      <c r="J57" s="68">
        <v>123456789</v>
      </c>
      <c r="K57" s="69" t="s">
        <v>889</v>
      </c>
    </row>
    <row r="58" spans="2:11" ht="20.100000000000001" customHeight="1" x14ac:dyDescent="0.3">
      <c r="B58" s="62">
        <v>44985</v>
      </c>
      <c r="C58" s="63" t="s">
        <v>943</v>
      </c>
      <c r="D58" s="64">
        <v>123456844</v>
      </c>
      <c r="E58" s="70" t="s">
        <v>105</v>
      </c>
      <c r="F58" s="111" t="s">
        <v>868</v>
      </c>
      <c r="G58" s="66">
        <v>811</v>
      </c>
      <c r="H58" s="67">
        <v>27</v>
      </c>
      <c r="I58" s="67">
        <v>21897</v>
      </c>
      <c r="J58" s="68">
        <v>123456789</v>
      </c>
      <c r="K58" s="69" t="s">
        <v>887</v>
      </c>
    </row>
    <row r="59" spans="2:11" ht="20.100000000000001" customHeight="1" x14ac:dyDescent="0.3">
      <c r="B59" s="62">
        <v>44986</v>
      </c>
      <c r="C59" s="63" t="s">
        <v>944</v>
      </c>
      <c r="D59" s="64">
        <v>123456845</v>
      </c>
      <c r="E59" s="65" t="s">
        <v>106</v>
      </c>
      <c r="F59" s="53" t="s">
        <v>868</v>
      </c>
      <c r="G59" s="66">
        <v>673</v>
      </c>
      <c r="H59" s="67">
        <v>24</v>
      </c>
      <c r="I59" s="67">
        <v>16152</v>
      </c>
      <c r="J59" s="68">
        <v>123456789</v>
      </c>
      <c r="K59" s="69" t="s">
        <v>887</v>
      </c>
    </row>
    <row r="60" spans="2:11" ht="20.100000000000001" customHeight="1" x14ac:dyDescent="0.3">
      <c r="B60" s="62">
        <v>44987</v>
      </c>
      <c r="C60" s="63" t="s">
        <v>945</v>
      </c>
      <c r="D60" s="64">
        <v>123456846</v>
      </c>
      <c r="E60" s="70" t="s">
        <v>107</v>
      </c>
      <c r="F60" s="111" t="s">
        <v>868</v>
      </c>
      <c r="G60" s="66">
        <v>881</v>
      </c>
      <c r="H60" s="67">
        <v>30</v>
      </c>
      <c r="I60" s="67">
        <v>26430</v>
      </c>
      <c r="J60" s="68">
        <v>123456789</v>
      </c>
      <c r="K60" s="69" t="s">
        <v>889</v>
      </c>
    </row>
    <row r="61" spans="2:11" ht="20.100000000000001" customHeight="1" x14ac:dyDescent="0.3">
      <c r="B61" s="62">
        <v>44988</v>
      </c>
      <c r="C61" s="63" t="s">
        <v>946</v>
      </c>
      <c r="D61" s="64">
        <v>123456847</v>
      </c>
      <c r="E61" s="65" t="s">
        <v>108</v>
      </c>
      <c r="F61" s="53" t="s">
        <v>868</v>
      </c>
      <c r="G61" s="66">
        <v>564</v>
      </c>
      <c r="H61" s="67">
        <v>26</v>
      </c>
      <c r="I61" s="67">
        <v>14664</v>
      </c>
      <c r="J61" s="68">
        <v>123456789</v>
      </c>
      <c r="K61" s="69" t="s">
        <v>887</v>
      </c>
    </row>
    <row r="62" spans="2:11" ht="20.100000000000001" customHeight="1" x14ac:dyDescent="0.3">
      <c r="B62" s="62">
        <v>44989</v>
      </c>
      <c r="C62" s="63" t="s">
        <v>947</v>
      </c>
      <c r="D62" s="64">
        <v>123456848</v>
      </c>
      <c r="E62" s="70" t="s">
        <v>109</v>
      </c>
      <c r="F62" s="111" t="s">
        <v>868</v>
      </c>
      <c r="G62" s="66">
        <v>534</v>
      </c>
      <c r="H62" s="67">
        <v>22</v>
      </c>
      <c r="I62" s="67">
        <v>11748</v>
      </c>
      <c r="J62" s="68">
        <v>123456789</v>
      </c>
      <c r="K62" s="69" t="s">
        <v>887</v>
      </c>
    </row>
    <row r="63" spans="2:11" ht="20.100000000000001" customHeight="1" x14ac:dyDescent="0.3">
      <c r="B63" s="62">
        <v>44990</v>
      </c>
      <c r="C63" s="63" t="s">
        <v>948</v>
      </c>
      <c r="D63" s="64">
        <v>123456849</v>
      </c>
      <c r="E63" s="65" t="s">
        <v>110</v>
      </c>
      <c r="F63" s="53" t="s">
        <v>868</v>
      </c>
      <c r="G63" s="66">
        <v>743</v>
      </c>
      <c r="H63" s="67">
        <v>24</v>
      </c>
      <c r="I63" s="67">
        <v>17832</v>
      </c>
      <c r="J63" s="68">
        <v>123456789</v>
      </c>
      <c r="K63" s="69" t="s">
        <v>887</v>
      </c>
    </row>
    <row r="64" spans="2:11" ht="20.100000000000001" customHeight="1" x14ac:dyDescent="0.3">
      <c r="B64" s="62">
        <v>44991</v>
      </c>
      <c r="C64" s="63" t="s">
        <v>949</v>
      </c>
      <c r="D64" s="64">
        <v>123456850</v>
      </c>
      <c r="E64" s="70" t="s">
        <v>111</v>
      </c>
      <c r="F64" s="111" t="s">
        <v>868</v>
      </c>
      <c r="G64" s="66">
        <v>855</v>
      </c>
      <c r="H64" s="67">
        <v>31</v>
      </c>
      <c r="I64" s="67">
        <v>26505</v>
      </c>
      <c r="J64" s="68">
        <v>123456789</v>
      </c>
      <c r="K64" s="69" t="s">
        <v>887</v>
      </c>
    </row>
    <row r="65" spans="2:11" ht="20.100000000000001" customHeight="1" x14ac:dyDescent="0.3">
      <c r="B65" s="62">
        <v>44992</v>
      </c>
      <c r="C65" s="63" t="s">
        <v>950</v>
      </c>
      <c r="D65" s="64">
        <v>123456851</v>
      </c>
      <c r="E65" s="65" t="s">
        <v>112</v>
      </c>
      <c r="F65" s="53" t="s">
        <v>868</v>
      </c>
      <c r="G65" s="66">
        <v>745</v>
      </c>
      <c r="H65" s="67">
        <v>29</v>
      </c>
      <c r="I65" s="67">
        <v>21605</v>
      </c>
      <c r="J65" s="68">
        <v>123456789</v>
      </c>
      <c r="K65" s="69" t="s">
        <v>887</v>
      </c>
    </row>
    <row r="66" spans="2:11" ht="20.100000000000001" customHeight="1" x14ac:dyDescent="0.3">
      <c r="B66" s="62">
        <v>44993</v>
      </c>
      <c r="C66" s="63" t="s">
        <v>951</v>
      </c>
      <c r="D66" s="64">
        <v>123456852</v>
      </c>
      <c r="E66" s="70" t="s">
        <v>113</v>
      </c>
      <c r="F66" s="111" t="s">
        <v>868</v>
      </c>
      <c r="G66" s="66">
        <v>814</v>
      </c>
      <c r="H66" s="67">
        <v>23</v>
      </c>
      <c r="I66" s="67">
        <v>18722</v>
      </c>
      <c r="J66" s="68">
        <v>123456789</v>
      </c>
      <c r="K66" s="69" t="s">
        <v>887</v>
      </c>
    </row>
    <row r="67" spans="2:11" ht="20.100000000000001" customHeight="1" x14ac:dyDescent="0.3">
      <c r="B67" s="62">
        <v>44994</v>
      </c>
      <c r="C67" s="63" t="s">
        <v>952</v>
      </c>
      <c r="D67" s="64">
        <v>123456853</v>
      </c>
      <c r="E67" s="65" t="s">
        <v>114</v>
      </c>
      <c r="F67" s="53" t="s">
        <v>868</v>
      </c>
      <c r="G67" s="66">
        <v>596</v>
      </c>
      <c r="H67" s="67">
        <v>24</v>
      </c>
      <c r="I67" s="67">
        <v>14304</v>
      </c>
      <c r="J67" s="68">
        <v>123456789</v>
      </c>
      <c r="K67" s="69" t="s">
        <v>889</v>
      </c>
    </row>
    <row r="68" spans="2:11" ht="20.100000000000001" customHeight="1" x14ac:dyDescent="0.3">
      <c r="B68" s="62">
        <v>44995</v>
      </c>
      <c r="C68" s="63" t="s">
        <v>953</v>
      </c>
      <c r="D68" s="64">
        <v>123456854</v>
      </c>
      <c r="E68" s="70" t="s">
        <v>115</v>
      </c>
      <c r="F68" s="111" t="s">
        <v>868</v>
      </c>
      <c r="G68" s="66">
        <v>600</v>
      </c>
      <c r="H68" s="67">
        <v>23</v>
      </c>
      <c r="I68" s="67">
        <v>13800</v>
      </c>
      <c r="J68" s="68">
        <v>123456789</v>
      </c>
      <c r="K68" s="69" t="s">
        <v>887</v>
      </c>
    </row>
    <row r="69" spans="2:11" ht="20.100000000000001" customHeight="1" x14ac:dyDescent="0.3">
      <c r="B69" s="62">
        <v>44996</v>
      </c>
      <c r="C69" s="63" t="s">
        <v>954</v>
      </c>
      <c r="D69" s="64">
        <v>123456855</v>
      </c>
      <c r="E69" s="65" t="s">
        <v>116</v>
      </c>
      <c r="F69" s="53" t="s">
        <v>868</v>
      </c>
      <c r="G69" s="66">
        <v>559</v>
      </c>
      <c r="H69" s="67">
        <v>25</v>
      </c>
      <c r="I69" s="67">
        <v>13975</v>
      </c>
      <c r="J69" s="68">
        <v>123456789</v>
      </c>
      <c r="K69" s="69" t="s">
        <v>887</v>
      </c>
    </row>
    <row r="70" spans="2:11" ht="20.100000000000001" customHeight="1" x14ac:dyDescent="0.3">
      <c r="B70" s="62">
        <v>44997</v>
      </c>
      <c r="C70" s="63" t="s">
        <v>955</v>
      </c>
      <c r="D70" s="64">
        <v>123456856</v>
      </c>
      <c r="E70" s="70" t="s">
        <v>117</v>
      </c>
      <c r="F70" s="111" t="s">
        <v>868</v>
      </c>
      <c r="G70" s="66">
        <v>525</v>
      </c>
      <c r="H70" s="67">
        <v>27</v>
      </c>
      <c r="I70" s="67">
        <v>14175</v>
      </c>
      <c r="J70" s="68">
        <v>123456789</v>
      </c>
      <c r="K70" s="69" t="s">
        <v>887</v>
      </c>
    </row>
    <row r="71" spans="2:11" ht="20.100000000000001" customHeight="1" x14ac:dyDescent="0.3">
      <c r="B71" s="62">
        <v>44998</v>
      </c>
      <c r="C71" s="63" t="s">
        <v>956</v>
      </c>
      <c r="D71" s="64">
        <v>123456857</v>
      </c>
      <c r="E71" s="65" t="s">
        <v>118</v>
      </c>
      <c r="F71" s="53" t="s">
        <v>868</v>
      </c>
      <c r="G71" s="66">
        <v>515</v>
      </c>
      <c r="H71" s="67">
        <v>23</v>
      </c>
      <c r="I71" s="67">
        <v>11845</v>
      </c>
      <c r="J71" s="68">
        <v>123456789</v>
      </c>
      <c r="K71" s="69" t="s">
        <v>889</v>
      </c>
    </row>
    <row r="72" spans="2:11" ht="20.100000000000001" customHeight="1" x14ac:dyDescent="0.3">
      <c r="B72" s="62">
        <v>44999</v>
      </c>
      <c r="C72" s="63" t="s">
        <v>957</v>
      </c>
      <c r="D72" s="64">
        <v>123456858</v>
      </c>
      <c r="E72" s="70" t="s">
        <v>119</v>
      </c>
      <c r="F72" s="111" t="s">
        <v>869</v>
      </c>
      <c r="G72" s="66">
        <v>994</v>
      </c>
      <c r="H72" s="67">
        <v>31</v>
      </c>
      <c r="I72" s="67">
        <v>30814</v>
      </c>
      <c r="J72" s="68">
        <v>123456789</v>
      </c>
      <c r="K72" s="69" t="s">
        <v>889</v>
      </c>
    </row>
    <row r="73" spans="2:11" ht="20.100000000000001" customHeight="1" x14ac:dyDescent="0.3">
      <c r="B73" s="62">
        <v>45000</v>
      </c>
      <c r="C73" s="63" t="s">
        <v>958</v>
      </c>
      <c r="D73" s="64">
        <v>123456859</v>
      </c>
      <c r="E73" s="65" t="s">
        <v>120</v>
      </c>
      <c r="F73" s="53" t="s">
        <v>868</v>
      </c>
      <c r="G73" s="66">
        <v>612</v>
      </c>
      <c r="H73" s="67">
        <v>30</v>
      </c>
      <c r="I73" s="67">
        <v>18360</v>
      </c>
      <c r="J73" s="68">
        <v>123456789</v>
      </c>
      <c r="K73" s="69" t="s">
        <v>887</v>
      </c>
    </row>
    <row r="74" spans="2:11" ht="20.100000000000001" customHeight="1" x14ac:dyDescent="0.3">
      <c r="B74" s="62">
        <v>45001</v>
      </c>
      <c r="C74" s="63" t="s">
        <v>959</v>
      </c>
      <c r="D74" s="64">
        <v>123456860</v>
      </c>
      <c r="E74" s="70" t="s">
        <v>121</v>
      </c>
      <c r="F74" s="111" t="s">
        <v>868</v>
      </c>
      <c r="G74" s="66">
        <v>600</v>
      </c>
      <c r="H74" s="67">
        <v>24</v>
      </c>
      <c r="I74" s="67">
        <v>14400</v>
      </c>
      <c r="J74" s="68">
        <v>123456789</v>
      </c>
      <c r="K74" s="69" t="s">
        <v>887</v>
      </c>
    </row>
    <row r="75" spans="2:11" ht="20.100000000000001" customHeight="1" x14ac:dyDescent="0.3">
      <c r="B75" s="62">
        <v>45002</v>
      </c>
      <c r="C75" s="63" t="s">
        <v>960</v>
      </c>
      <c r="D75" s="64">
        <v>123456861</v>
      </c>
      <c r="E75" s="65" t="s">
        <v>122</v>
      </c>
      <c r="F75" s="53" t="s">
        <v>869</v>
      </c>
      <c r="G75" s="66">
        <v>796</v>
      </c>
      <c r="H75" s="67">
        <v>27</v>
      </c>
      <c r="I75" s="67">
        <v>21492</v>
      </c>
      <c r="J75" s="68">
        <v>123456789</v>
      </c>
      <c r="K75" s="69" t="s">
        <v>887</v>
      </c>
    </row>
    <row r="76" spans="2:11" ht="20.100000000000001" customHeight="1" x14ac:dyDescent="0.3">
      <c r="B76" s="62">
        <v>45003</v>
      </c>
      <c r="C76" s="63" t="s">
        <v>961</v>
      </c>
      <c r="D76" s="64">
        <v>123456862</v>
      </c>
      <c r="E76" s="70" t="s">
        <v>123</v>
      </c>
      <c r="F76" s="111" t="s">
        <v>868</v>
      </c>
      <c r="G76" s="66">
        <v>646</v>
      </c>
      <c r="H76" s="67">
        <v>28</v>
      </c>
      <c r="I76" s="67">
        <v>18088</v>
      </c>
      <c r="J76" s="68">
        <v>123456789</v>
      </c>
      <c r="K76" s="69" t="s">
        <v>887</v>
      </c>
    </row>
    <row r="77" spans="2:11" ht="20.100000000000001" customHeight="1" x14ac:dyDescent="0.3">
      <c r="B77" s="62">
        <v>45004</v>
      </c>
      <c r="C77" s="63" t="s">
        <v>962</v>
      </c>
      <c r="D77" s="64">
        <v>123456863</v>
      </c>
      <c r="E77" s="65" t="s">
        <v>124</v>
      </c>
      <c r="F77" s="53" t="s">
        <v>868</v>
      </c>
      <c r="G77" s="66">
        <v>904</v>
      </c>
      <c r="H77" s="67">
        <v>28</v>
      </c>
      <c r="I77" s="67">
        <v>25312</v>
      </c>
      <c r="J77" s="68">
        <v>123456789</v>
      </c>
      <c r="K77" s="69" t="s">
        <v>887</v>
      </c>
    </row>
    <row r="78" spans="2:11" ht="20.100000000000001" customHeight="1" x14ac:dyDescent="0.3">
      <c r="B78" s="62">
        <v>45005</v>
      </c>
      <c r="C78" s="63" t="s">
        <v>963</v>
      </c>
      <c r="D78" s="64">
        <v>123456864</v>
      </c>
      <c r="E78" s="70" t="s">
        <v>125</v>
      </c>
      <c r="F78" s="111" t="s">
        <v>868</v>
      </c>
      <c r="G78" s="66">
        <v>658</v>
      </c>
      <c r="H78" s="67">
        <v>24</v>
      </c>
      <c r="I78" s="67">
        <v>15792</v>
      </c>
      <c r="J78" s="68">
        <v>123456789</v>
      </c>
      <c r="K78" s="69" t="s">
        <v>887</v>
      </c>
    </row>
    <row r="79" spans="2:11" ht="20.100000000000001" customHeight="1" x14ac:dyDescent="0.3">
      <c r="B79" s="62">
        <v>45006</v>
      </c>
      <c r="C79" s="63" t="s">
        <v>964</v>
      </c>
      <c r="D79" s="64">
        <v>123456865</v>
      </c>
      <c r="E79" s="65" t="s">
        <v>126</v>
      </c>
      <c r="F79" s="53" t="s">
        <v>868</v>
      </c>
      <c r="G79" s="66">
        <v>579</v>
      </c>
      <c r="H79" s="67">
        <v>31</v>
      </c>
      <c r="I79" s="67">
        <v>17949</v>
      </c>
      <c r="J79" s="68">
        <v>123456789</v>
      </c>
      <c r="K79" s="69" t="s">
        <v>889</v>
      </c>
    </row>
    <row r="80" spans="2:11" ht="20.100000000000001" customHeight="1" x14ac:dyDescent="0.3">
      <c r="B80" s="62">
        <v>45007</v>
      </c>
      <c r="C80" s="63" t="s">
        <v>965</v>
      </c>
      <c r="D80" s="64">
        <v>123456866</v>
      </c>
      <c r="E80" s="70" t="s">
        <v>127</v>
      </c>
      <c r="F80" s="111" t="s">
        <v>869</v>
      </c>
      <c r="G80" s="66">
        <v>850</v>
      </c>
      <c r="H80" s="67">
        <v>27</v>
      </c>
      <c r="I80" s="67">
        <v>22950</v>
      </c>
      <c r="J80" s="68">
        <v>123456789</v>
      </c>
      <c r="K80" s="69" t="s">
        <v>887</v>
      </c>
    </row>
    <row r="81" spans="2:11" ht="20.100000000000001" customHeight="1" x14ac:dyDescent="0.3">
      <c r="B81" s="62">
        <v>45008</v>
      </c>
      <c r="C81" s="63" t="s">
        <v>966</v>
      </c>
      <c r="D81" s="64">
        <v>123456867</v>
      </c>
      <c r="E81" s="65" t="s">
        <v>128</v>
      </c>
      <c r="F81" s="53" t="s">
        <v>868</v>
      </c>
      <c r="G81" s="66">
        <v>760</v>
      </c>
      <c r="H81" s="67">
        <v>21</v>
      </c>
      <c r="I81" s="67">
        <v>15960</v>
      </c>
      <c r="J81" s="68">
        <v>123456789</v>
      </c>
      <c r="K81" s="69" t="s">
        <v>887</v>
      </c>
    </row>
    <row r="82" spans="2:11" ht="20.100000000000001" customHeight="1" x14ac:dyDescent="0.3">
      <c r="B82" s="62">
        <v>45009</v>
      </c>
      <c r="C82" s="63" t="s">
        <v>967</v>
      </c>
      <c r="D82" s="64">
        <v>123456868</v>
      </c>
      <c r="E82" s="70" t="s">
        <v>129</v>
      </c>
      <c r="F82" s="111" t="s">
        <v>868</v>
      </c>
      <c r="G82" s="66">
        <v>826</v>
      </c>
      <c r="H82" s="67">
        <v>30</v>
      </c>
      <c r="I82" s="67">
        <v>24780</v>
      </c>
      <c r="J82" s="68">
        <v>123456789</v>
      </c>
      <c r="K82" s="69" t="s">
        <v>889</v>
      </c>
    </row>
    <row r="83" spans="2:11" ht="20.100000000000001" customHeight="1" x14ac:dyDescent="0.3">
      <c r="B83" s="62">
        <v>45010</v>
      </c>
      <c r="C83" s="63" t="s">
        <v>968</v>
      </c>
      <c r="D83" s="64">
        <v>123456869</v>
      </c>
      <c r="E83" s="65" t="s">
        <v>130</v>
      </c>
      <c r="F83" s="53" t="s">
        <v>868</v>
      </c>
      <c r="G83" s="66">
        <v>996</v>
      </c>
      <c r="H83" s="67">
        <v>21</v>
      </c>
      <c r="I83" s="67">
        <v>20916</v>
      </c>
      <c r="J83" s="68">
        <v>123456789</v>
      </c>
      <c r="K83" s="69" t="s">
        <v>889</v>
      </c>
    </row>
    <row r="84" spans="2:11" ht="20.100000000000001" customHeight="1" x14ac:dyDescent="0.3">
      <c r="B84" s="62">
        <v>45011</v>
      </c>
      <c r="C84" s="63" t="s">
        <v>969</v>
      </c>
      <c r="D84" s="64">
        <v>123456870</v>
      </c>
      <c r="E84" s="70" t="s">
        <v>131</v>
      </c>
      <c r="F84" s="111" t="s">
        <v>868</v>
      </c>
      <c r="G84" s="66">
        <v>687</v>
      </c>
      <c r="H84" s="67">
        <v>23</v>
      </c>
      <c r="I84" s="67">
        <v>15801</v>
      </c>
      <c r="J84" s="68">
        <v>123456789</v>
      </c>
      <c r="K84" s="69" t="s">
        <v>887</v>
      </c>
    </row>
    <row r="85" spans="2:11" ht="20.100000000000001" customHeight="1" x14ac:dyDescent="0.3">
      <c r="B85" s="62">
        <v>45012</v>
      </c>
      <c r="C85" s="63" t="s">
        <v>970</v>
      </c>
      <c r="D85" s="64">
        <v>123456871</v>
      </c>
      <c r="E85" s="65" t="s">
        <v>132</v>
      </c>
      <c r="F85" s="53" t="s">
        <v>869</v>
      </c>
      <c r="G85" s="66">
        <v>801</v>
      </c>
      <c r="H85" s="67">
        <v>22</v>
      </c>
      <c r="I85" s="67">
        <v>17622</v>
      </c>
      <c r="J85" s="68">
        <v>123456789</v>
      </c>
      <c r="K85" s="69" t="s">
        <v>889</v>
      </c>
    </row>
    <row r="86" spans="2:11" ht="20.100000000000001" customHeight="1" x14ac:dyDescent="0.3">
      <c r="B86" s="62">
        <v>45013</v>
      </c>
      <c r="C86" s="63" t="s">
        <v>971</v>
      </c>
      <c r="D86" s="64">
        <v>123456872</v>
      </c>
      <c r="E86" s="70" t="s">
        <v>133</v>
      </c>
      <c r="F86" s="111" t="s">
        <v>868</v>
      </c>
      <c r="G86" s="66">
        <v>654</v>
      </c>
      <c r="H86" s="67">
        <v>28</v>
      </c>
      <c r="I86" s="67">
        <v>18312</v>
      </c>
      <c r="J86" s="68">
        <v>123456789</v>
      </c>
      <c r="K86" s="69" t="s">
        <v>887</v>
      </c>
    </row>
    <row r="87" spans="2:11" ht="20.100000000000001" customHeight="1" x14ac:dyDescent="0.3">
      <c r="B87" s="62">
        <v>45014</v>
      </c>
      <c r="C87" s="63" t="s">
        <v>972</v>
      </c>
      <c r="D87" s="64">
        <v>123456873</v>
      </c>
      <c r="E87" s="65" t="s">
        <v>134</v>
      </c>
      <c r="F87" s="53" t="s">
        <v>869</v>
      </c>
      <c r="G87" s="66">
        <v>861</v>
      </c>
      <c r="H87" s="67">
        <v>30</v>
      </c>
      <c r="I87" s="67">
        <v>25830</v>
      </c>
      <c r="J87" s="68">
        <v>123456789</v>
      </c>
      <c r="K87" s="69" t="s">
        <v>889</v>
      </c>
    </row>
    <row r="88" spans="2:11" ht="20.100000000000001" customHeight="1" x14ac:dyDescent="0.3">
      <c r="B88" s="62">
        <v>45015</v>
      </c>
      <c r="C88" s="63" t="s">
        <v>973</v>
      </c>
      <c r="D88" s="64">
        <v>123456874</v>
      </c>
      <c r="E88" s="70" t="s">
        <v>135</v>
      </c>
      <c r="F88" s="111" t="s">
        <v>868</v>
      </c>
      <c r="G88" s="66">
        <v>670</v>
      </c>
      <c r="H88" s="67">
        <v>26</v>
      </c>
      <c r="I88" s="67">
        <v>17420</v>
      </c>
      <c r="J88" s="68">
        <v>123456789</v>
      </c>
      <c r="K88" s="69" t="s">
        <v>887</v>
      </c>
    </row>
    <row r="89" spans="2:11" ht="20.100000000000001" customHeight="1" x14ac:dyDescent="0.3">
      <c r="B89" s="62">
        <v>45016</v>
      </c>
      <c r="C89" s="63" t="s">
        <v>974</v>
      </c>
      <c r="D89" s="64">
        <v>123456875</v>
      </c>
      <c r="E89" s="65" t="s">
        <v>136</v>
      </c>
      <c r="F89" s="53" t="s">
        <v>868</v>
      </c>
      <c r="G89" s="66">
        <v>679</v>
      </c>
      <c r="H89" s="67">
        <v>29</v>
      </c>
      <c r="I89" s="67">
        <v>19691</v>
      </c>
      <c r="J89" s="68">
        <v>123456789</v>
      </c>
      <c r="K89" s="69" t="s">
        <v>889</v>
      </c>
    </row>
    <row r="90" spans="2:11" ht="20.100000000000001" customHeight="1" x14ac:dyDescent="0.3">
      <c r="B90" s="62">
        <v>45017</v>
      </c>
      <c r="C90" s="63" t="s">
        <v>975</v>
      </c>
      <c r="D90" s="64">
        <v>123456876</v>
      </c>
      <c r="E90" s="70" t="s">
        <v>137</v>
      </c>
      <c r="F90" s="111" t="s">
        <v>868</v>
      </c>
      <c r="G90" s="66">
        <v>737</v>
      </c>
      <c r="H90" s="67">
        <v>28</v>
      </c>
      <c r="I90" s="67">
        <v>20636</v>
      </c>
      <c r="J90" s="68">
        <v>123456789</v>
      </c>
      <c r="K90" s="69" t="s">
        <v>887</v>
      </c>
    </row>
    <row r="91" spans="2:11" ht="20.100000000000001" customHeight="1" x14ac:dyDescent="0.3">
      <c r="B91" s="62">
        <v>45018</v>
      </c>
      <c r="C91" s="63" t="s">
        <v>976</v>
      </c>
      <c r="D91" s="64">
        <v>123456877</v>
      </c>
      <c r="E91" s="65" t="s">
        <v>138</v>
      </c>
      <c r="F91" s="53" t="s">
        <v>868</v>
      </c>
      <c r="G91" s="66">
        <v>875</v>
      </c>
      <c r="H91" s="67">
        <v>31</v>
      </c>
      <c r="I91" s="67">
        <v>27125</v>
      </c>
      <c r="J91" s="68">
        <v>123456789</v>
      </c>
      <c r="K91" s="69" t="s">
        <v>889</v>
      </c>
    </row>
    <row r="92" spans="2:11" ht="20.100000000000001" customHeight="1" x14ac:dyDescent="0.3">
      <c r="B92" s="62">
        <v>45019</v>
      </c>
      <c r="C92" s="63" t="s">
        <v>977</v>
      </c>
      <c r="D92" s="64">
        <v>123456878</v>
      </c>
      <c r="E92" s="70" t="s">
        <v>139</v>
      </c>
      <c r="F92" s="111" t="s">
        <v>868</v>
      </c>
      <c r="G92" s="66">
        <v>624</v>
      </c>
      <c r="H92" s="67">
        <v>21</v>
      </c>
      <c r="I92" s="67">
        <v>13104</v>
      </c>
      <c r="J92" s="68">
        <v>123456789</v>
      </c>
      <c r="K92" s="69" t="s">
        <v>887</v>
      </c>
    </row>
    <row r="93" spans="2:11" ht="20.100000000000001" customHeight="1" x14ac:dyDescent="0.3">
      <c r="B93" s="62">
        <v>45020</v>
      </c>
      <c r="C93" s="63" t="s">
        <v>978</v>
      </c>
      <c r="D93" s="64">
        <v>123456879</v>
      </c>
      <c r="E93" s="65" t="s">
        <v>140</v>
      </c>
      <c r="F93" s="53" t="s">
        <v>868</v>
      </c>
      <c r="G93" s="66">
        <v>965</v>
      </c>
      <c r="H93" s="67">
        <v>28</v>
      </c>
      <c r="I93" s="67">
        <v>27020</v>
      </c>
      <c r="J93" s="68">
        <v>123456789</v>
      </c>
      <c r="K93" s="69" t="s">
        <v>887</v>
      </c>
    </row>
    <row r="94" spans="2:11" ht="20.100000000000001" customHeight="1" x14ac:dyDescent="0.3">
      <c r="B94" s="62">
        <v>45021</v>
      </c>
      <c r="C94" s="63" t="s">
        <v>979</v>
      </c>
      <c r="D94" s="64">
        <v>123456880</v>
      </c>
      <c r="E94" s="70" t="s">
        <v>141</v>
      </c>
      <c r="F94" s="111" t="s">
        <v>868</v>
      </c>
      <c r="G94" s="66">
        <v>905</v>
      </c>
      <c r="H94" s="67">
        <v>25</v>
      </c>
      <c r="I94" s="67">
        <v>22625</v>
      </c>
      <c r="J94" s="68">
        <v>123456789</v>
      </c>
      <c r="K94" s="69" t="s">
        <v>889</v>
      </c>
    </row>
    <row r="95" spans="2:11" ht="20.100000000000001" customHeight="1" x14ac:dyDescent="0.3">
      <c r="B95" s="62">
        <v>45022</v>
      </c>
      <c r="C95" s="63" t="s">
        <v>980</v>
      </c>
      <c r="D95" s="64">
        <v>123456881</v>
      </c>
      <c r="E95" s="65" t="s">
        <v>142</v>
      </c>
      <c r="F95" s="53" t="s">
        <v>868</v>
      </c>
      <c r="G95" s="66">
        <v>745</v>
      </c>
      <c r="H95" s="67">
        <v>31</v>
      </c>
      <c r="I95" s="67">
        <v>23095</v>
      </c>
      <c r="J95" s="68">
        <v>123456789</v>
      </c>
      <c r="K95" s="69" t="s">
        <v>887</v>
      </c>
    </row>
    <row r="96" spans="2:11" ht="20.100000000000001" customHeight="1" x14ac:dyDescent="0.3">
      <c r="B96" s="62">
        <v>45023</v>
      </c>
      <c r="C96" s="63" t="s">
        <v>981</v>
      </c>
      <c r="D96" s="64">
        <v>123456882</v>
      </c>
      <c r="E96" s="70" t="s">
        <v>143</v>
      </c>
      <c r="F96" s="111" t="s">
        <v>868</v>
      </c>
      <c r="G96" s="66">
        <v>937</v>
      </c>
      <c r="H96" s="67">
        <v>25</v>
      </c>
      <c r="I96" s="67">
        <v>23425</v>
      </c>
      <c r="J96" s="68">
        <v>123456789</v>
      </c>
      <c r="K96" s="69" t="s">
        <v>887</v>
      </c>
    </row>
    <row r="97" spans="2:11" ht="20.100000000000001" customHeight="1" x14ac:dyDescent="0.3">
      <c r="B97" s="62">
        <v>45024</v>
      </c>
      <c r="C97" s="63" t="s">
        <v>982</v>
      </c>
      <c r="D97" s="64">
        <v>123456883</v>
      </c>
      <c r="E97" s="65" t="s">
        <v>144</v>
      </c>
      <c r="F97" s="53" t="s">
        <v>869</v>
      </c>
      <c r="G97" s="66">
        <v>879</v>
      </c>
      <c r="H97" s="67">
        <v>24</v>
      </c>
      <c r="I97" s="67">
        <v>21096</v>
      </c>
      <c r="J97" s="68">
        <v>123456789</v>
      </c>
      <c r="K97" s="69" t="s">
        <v>887</v>
      </c>
    </row>
    <row r="98" spans="2:11" ht="20.100000000000001" customHeight="1" x14ac:dyDescent="0.3">
      <c r="B98" s="62">
        <v>45025</v>
      </c>
      <c r="C98" s="63" t="s">
        <v>983</v>
      </c>
      <c r="D98" s="64">
        <v>123456884</v>
      </c>
      <c r="E98" s="70" t="s">
        <v>145</v>
      </c>
      <c r="F98" s="111" t="s">
        <v>868</v>
      </c>
      <c r="G98" s="66">
        <v>530</v>
      </c>
      <c r="H98" s="67">
        <v>21</v>
      </c>
      <c r="I98" s="67">
        <v>11130</v>
      </c>
      <c r="J98" s="68">
        <v>123456789</v>
      </c>
      <c r="K98" s="69" t="s">
        <v>887</v>
      </c>
    </row>
    <row r="99" spans="2:11" ht="20.100000000000001" customHeight="1" x14ac:dyDescent="0.3">
      <c r="B99" s="62">
        <v>45026</v>
      </c>
      <c r="C99" s="63" t="s">
        <v>984</v>
      </c>
      <c r="D99" s="64">
        <v>123456885</v>
      </c>
      <c r="E99" s="65" t="s">
        <v>146</v>
      </c>
      <c r="F99" s="53" t="s">
        <v>868</v>
      </c>
      <c r="G99" s="66">
        <v>787</v>
      </c>
      <c r="H99" s="67">
        <v>25</v>
      </c>
      <c r="I99" s="67">
        <v>19675</v>
      </c>
      <c r="J99" s="68">
        <v>123456789</v>
      </c>
      <c r="K99" s="69" t="s">
        <v>887</v>
      </c>
    </row>
    <row r="100" spans="2:11" ht="20.100000000000001" customHeight="1" x14ac:dyDescent="0.3">
      <c r="B100" s="62">
        <v>45027</v>
      </c>
      <c r="C100" s="63" t="s">
        <v>985</v>
      </c>
      <c r="D100" s="64">
        <v>123456886</v>
      </c>
      <c r="E100" s="70" t="s">
        <v>147</v>
      </c>
      <c r="F100" s="111" t="s">
        <v>868</v>
      </c>
      <c r="G100" s="66">
        <v>683</v>
      </c>
      <c r="H100" s="67">
        <v>29</v>
      </c>
      <c r="I100" s="67">
        <v>19807</v>
      </c>
      <c r="J100" s="68">
        <v>123456789</v>
      </c>
      <c r="K100" s="69" t="s">
        <v>887</v>
      </c>
    </row>
    <row r="101" spans="2:11" ht="20.100000000000001" customHeight="1" x14ac:dyDescent="0.3">
      <c r="B101" s="62">
        <v>45028</v>
      </c>
      <c r="C101" s="63" t="s">
        <v>986</v>
      </c>
      <c r="D101" s="64">
        <v>123456887</v>
      </c>
      <c r="E101" s="65" t="s">
        <v>148</v>
      </c>
      <c r="F101" s="53" t="s">
        <v>868</v>
      </c>
      <c r="G101" s="66">
        <v>714</v>
      </c>
      <c r="H101" s="67">
        <v>22</v>
      </c>
      <c r="I101" s="67">
        <v>15708</v>
      </c>
      <c r="J101" s="68">
        <v>123456789</v>
      </c>
      <c r="K101" s="69" t="s">
        <v>887</v>
      </c>
    </row>
    <row r="102" spans="2:11" ht="20.100000000000001" customHeight="1" x14ac:dyDescent="0.3">
      <c r="B102" s="62">
        <v>45029</v>
      </c>
      <c r="C102" s="63" t="s">
        <v>987</v>
      </c>
      <c r="D102" s="64">
        <v>123456888</v>
      </c>
      <c r="E102" s="70" t="s">
        <v>149</v>
      </c>
      <c r="F102" s="111" t="s">
        <v>868</v>
      </c>
      <c r="G102" s="66">
        <v>647</v>
      </c>
      <c r="H102" s="67">
        <v>31</v>
      </c>
      <c r="I102" s="67">
        <v>20057</v>
      </c>
      <c r="J102" s="68">
        <v>123456789</v>
      </c>
      <c r="K102" s="69" t="s">
        <v>887</v>
      </c>
    </row>
    <row r="103" spans="2:11" ht="20.100000000000001" customHeight="1" x14ac:dyDescent="0.3">
      <c r="B103" s="62">
        <v>45030</v>
      </c>
      <c r="C103" s="63" t="s">
        <v>988</v>
      </c>
      <c r="D103" s="64">
        <v>123456889</v>
      </c>
      <c r="E103" s="65" t="s">
        <v>150</v>
      </c>
      <c r="F103" s="53" t="s">
        <v>868</v>
      </c>
      <c r="G103" s="66">
        <v>625</v>
      </c>
      <c r="H103" s="67">
        <v>22</v>
      </c>
      <c r="I103" s="67">
        <v>13750</v>
      </c>
      <c r="J103" s="68">
        <v>123456789</v>
      </c>
      <c r="K103" s="69" t="s">
        <v>887</v>
      </c>
    </row>
    <row r="104" spans="2:11" ht="20.100000000000001" customHeight="1" x14ac:dyDescent="0.3">
      <c r="B104" s="62">
        <v>45031</v>
      </c>
      <c r="C104" s="63" t="s">
        <v>989</v>
      </c>
      <c r="D104" s="64">
        <v>123456890</v>
      </c>
      <c r="E104" s="70" t="s">
        <v>151</v>
      </c>
      <c r="F104" s="111" t="s">
        <v>868</v>
      </c>
      <c r="G104" s="66">
        <v>558</v>
      </c>
      <c r="H104" s="67">
        <v>23</v>
      </c>
      <c r="I104" s="67">
        <v>12834</v>
      </c>
      <c r="J104" s="68">
        <v>123456789</v>
      </c>
      <c r="K104" s="69" t="s">
        <v>887</v>
      </c>
    </row>
    <row r="105" spans="2:11" ht="20.100000000000001" customHeight="1" x14ac:dyDescent="0.3">
      <c r="B105" s="62">
        <v>45032</v>
      </c>
      <c r="C105" s="63" t="s">
        <v>990</v>
      </c>
      <c r="D105" s="64">
        <v>123456891</v>
      </c>
      <c r="E105" s="65" t="s">
        <v>152</v>
      </c>
      <c r="F105" s="53" t="s">
        <v>868</v>
      </c>
      <c r="G105" s="66">
        <v>963</v>
      </c>
      <c r="H105" s="67">
        <v>25</v>
      </c>
      <c r="I105" s="67">
        <v>24075</v>
      </c>
      <c r="J105" s="68">
        <v>123456789</v>
      </c>
      <c r="K105" s="69" t="s">
        <v>887</v>
      </c>
    </row>
    <row r="106" spans="2:11" ht="20.100000000000001" customHeight="1" x14ac:dyDescent="0.3">
      <c r="B106" s="62">
        <v>45033</v>
      </c>
      <c r="C106" s="63" t="s">
        <v>991</v>
      </c>
      <c r="D106" s="64">
        <v>123456892</v>
      </c>
      <c r="E106" s="70" t="s">
        <v>153</v>
      </c>
      <c r="F106" s="111" t="s">
        <v>868</v>
      </c>
      <c r="G106" s="66">
        <v>714</v>
      </c>
      <c r="H106" s="67">
        <v>30</v>
      </c>
      <c r="I106" s="67">
        <v>21420</v>
      </c>
      <c r="J106" s="68">
        <v>123456789</v>
      </c>
      <c r="K106" s="69" t="s">
        <v>887</v>
      </c>
    </row>
    <row r="107" spans="2:11" ht="20.100000000000001" customHeight="1" x14ac:dyDescent="0.3">
      <c r="B107" s="62">
        <v>45034</v>
      </c>
      <c r="C107" s="63" t="s">
        <v>992</v>
      </c>
      <c r="D107" s="64">
        <v>123456893</v>
      </c>
      <c r="E107" s="65" t="s">
        <v>154</v>
      </c>
      <c r="F107" s="53" t="s">
        <v>868</v>
      </c>
      <c r="G107" s="66">
        <v>620</v>
      </c>
      <c r="H107" s="67">
        <v>27</v>
      </c>
      <c r="I107" s="67">
        <v>16740</v>
      </c>
      <c r="J107" s="68">
        <v>123456789</v>
      </c>
      <c r="K107" s="69" t="s">
        <v>887</v>
      </c>
    </row>
    <row r="108" spans="2:11" ht="20.100000000000001" customHeight="1" x14ac:dyDescent="0.3">
      <c r="B108" s="62">
        <v>45035</v>
      </c>
      <c r="C108" s="63" t="s">
        <v>993</v>
      </c>
      <c r="D108" s="64">
        <v>123456894</v>
      </c>
      <c r="E108" s="70" t="s">
        <v>155</v>
      </c>
      <c r="F108" s="111" t="s">
        <v>868</v>
      </c>
      <c r="G108" s="66">
        <v>659</v>
      </c>
      <c r="H108" s="67">
        <v>22</v>
      </c>
      <c r="I108" s="67">
        <v>14498</v>
      </c>
      <c r="J108" s="68">
        <v>123456789</v>
      </c>
      <c r="K108" s="69" t="s">
        <v>887</v>
      </c>
    </row>
    <row r="109" spans="2:11" ht="20.100000000000001" customHeight="1" x14ac:dyDescent="0.3">
      <c r="B109" s="62">
        <v>45036</v>
      </c>
      <c r="C109" s="63" t="s">
        <v>994</v>
      </c>
      <c r="D109" s="64">
        <v>123456895</v>
      </c>
      <c r="E109" s="65" t="s">
        <v>156</v>
      </c>
      <c r="F109" s="53" t="s">
        <v>869</v>
      </c>
      <c r="G109" s="66">
        <v>917</v>
      </c>
      <c r="H109" s="67">
        <v>26</v>
      </c>
      <c r="I109" s="67">
        <v>23842</v>
      </c>
      <c r="J109" s="68">
        <v>123456789</v>
      </c>
      <c r="K109" s="69" t="s">
        <v>887</v>
      </c>
    </row>
    <row r="110" spans="2:11" ht="20.100000000000001" customHeight="1" x14ac:dyDescent="0.3">
      <c r="B110" s="62">
        <v>45037</v>
      </c>
      <c r="C110" s="63" t="s">
        <v>995</v>
      </c>
      <c r="D110" s="64">
        <v>123456896</v>
      </c>
      <c r="E110" s="70" t="s">
        <v>157</v>
      </c>
      <c r="F110" s="111" t="s">
        <v>868</v>
      </c>
      <c r="G110" s="66">
        <v>912</v>
      </c>
      <c r="H110" s="67">
        <v>22</v>
      </c>
      <c r="I110" s="67">
        <v>20064</v>
      </c>
      <c r="J110" s="68">
        <v>123456789</v>
      </c>
      <c r="K110" s="69" t="s">
        <v>887</v>
      </c>
    </row>
    <row r="111" spans="2:11" ht="20.100000000000001" customHeight="1" x14ac:dyDescent="0.3">
      <c r="B111" s="62">
        <v>45038</v>
      </c>
      <c r="C111" s="63" t="s">
        <v>996</v>
      </c>
      <c r="D111" s="64">
        <v>123456897</v>
      </c>
      <c r="E111" s="65" t="s">
        <v>158</v>
      </c>
      <c r="F111" s="53" t="s">
        <v>869</v>
      </c>
      <c r="G111" s="66">
        <v>695</v>
      </c>
      <c r="H111" s="67">
        <v>31</v>
      </c>
      <c r="I111" s="67">
        <v>21545</v>
      </c>
      <c r="J111" s="68">
        <v>123456789</v>
      </c>
      <c r="K111" s="69" t="s">
        <v>887</v>
      </c>
    </row>
    <row r="112" spans="2:11" ht="20.100000000000001" customHeight="1" x14ac:dyDescent="0.3">
      <c r="B112" s="62">
        <v>45039</v>
      </c>
      <c r="C112" s="63" t="s">
        <v>997</v>
      </c>
      <c r="D112" s="64">
        <v>123456898</v>
      </c>
      <c r="E112" s="70" t="s">
        <v>159</v>
      </c>
      <c r="F112" s="111" t="s">
        <v>868</v>
      </c>
      <c r="G112" s="66">
        <v>856</v>
      </c>
      <c r="H112" s="67">
        <v>29</v>
      </c>
      <c r="I112" s="67">
        <v>24824</v>
      </c>
      <c r="J112" s="68">
        <v>123456789</v>
      </c>
      <c r="K112" s="69" t="s">
        <v>887</v>
      </c>
    </row>
    <row r="113" spans="2:11" ht="20.100000000000001" customHeight="1" x14ac:dyDescent="0.3">
      <c r="B113" s="62">
        <v>45040</v>
      </c>
      <c r="C113" s="63" t="s">
        <v>998</v>
      </c>
      <c r="D113" s="64">
        <v>123456899</v>
      </c>
      <c r="E113" s="65" t="s">
        <v>160</v>
      </c>
      <c r="F113" s="53" t="s">
        <v>868</v>
      </c>
      <c r="G113" s="66">
        <v>502</v>
      </c>
      <c r="H113" s="67">
        <v>27</v>
      </c>
      <c r="I113" s="67">
        <v>13554</v>
      </c>
      <c r="J113" s="68">
        <v>123456789</v>
      </c>
      <c r="K113" s="69" t="s">
        <v>887</v>
      </c>
    </row>
    <row r="114" spans="2:11" ht="20.100000000000001" customHeight="1" x14ac:dyDescent="0.3">
      <c r="B114" s="62">
        <v>45041</v>
      </c>
      <c r="C114" s="63" t="s">
        <v>999</v>
      </c>
      <c r="D114" s="64">
        <v>123456900</v>
      </c>
      <c r="E114" s="70" t="s">
        <v>161</v>
      </c>
      <c r="F114" s="111" t="s">
        <v>868</v>
      </c>
      <c r="G114" s="66">
        <v>985</v>
      </c>
      <c r="H114" s="67">
        <v>24</v>
      </c>
      <c r="I114" s="67">
        <v>23640</v>
      </c>
      <c r="J114" s="68">
        <v>123456789</v>
      </c>
      <c r="K114" s="69" t="s">
        <v>889</v>
      </c>
    </row>
    <row r="115" spans="2:11" ht="20.100000000000001" customHeight="1" x14ac:dyDescent="0.3">
      <c r="B115" s="62">
        <v>45042</v>
      </c>
      <c r="C115" s="63" t="s">
        <v>1000</v>
      </c>
      <c r="D115" s="64">
        <v>123456901</v>
      </c>
      <c r="E115" s="65" t="s">
        <v>162</v>
      </c>
      <c r="F115" s="53" t="s">
        <v>868</v>
      </c>
      <c r="G115" s="66">
        <v>720</v>
      </c>
      <c r="H115" s="67">
        <v>26</v>
      </c>
      <c r="I115" s="67">
        <v>18720</v>
      </c>
      <c r="J115" s="68">
        <v>123456789</v>
      </c>
      <c r="K115" s="69" t="s">
        <v>889</v>
      </c>
    </row>
    <row r="116" spans="2:11" ht="20.100000000000001" customHeight="1" x14ac:dyDescent="0.3">
      <c r="B116" s="62">
        <v>45043</v>
      </c>
      <c r="C116" s="63" t="s">
        <v>1001</v>
      </c>
      <c r="D116" s="64">
        <v>123456902</v>
      </c>
      <c r="E116" s="70" t="s">
        <v>163</v>
      </c>
      <c r="F116" s="111" t="s">
        <v>868</v>
      </c>
      <c r="G116" s="66">
        <v>616</v>
      </c>
      <c r="H116" s="67">
        <v>22</v>
      </c>
      <c r="I116" s="67">
        <v>13552</v>
      </c>
      <c r="J116" s="68">
        <v>123456789</v>
      </c>
      <c r="K116" s="69" t="s">
        <v>887</v>
      </c>
    </row>
    <row r="117" spans="2:11" ht="20.100000000000001" customHeight="1" x14ac:dyDescent="0.3">
      <c r="B117" s="62">
        <v>45044</v>
      </c>
      <c r="C117" s="63" t="s">
        <v>1002</v>
      </c>
      <c r="D117" s="64">
        <v>123456903</v>
      </c>
      <c r="E117" s="65" t="s">
        <v>164</v>
      </c>
      <c r="F117" s="53" t="s">
        <v>869</v>
      </c>
      <c r="G117" s="66">
        <v>812</v>
      </c>
      <c r="H117" s="67">
        <v>27</v>
      </c>
      <c r="I117" s="67">
        <v>21924</v>
      </c>
      <c r="J117" s="68">
        <v>123456789</v>
      </c>
      <c r="K117" s="69" t="s">
        <v>887</v>
      </c>
    </row>
    <row r="118" spans="2:11" ht="20.100000000000001" customHeight="1" x14ac:dyDescent="0.3">
      <c r="B118" s="62">
        <v>45045</v>
      </c>
      <c r="C118" s="63" t="s">
        <v>1003</v>
      </c>
      <c r="D118" s="64">
        <v>123456904</v>
      </c>
      <c r="E118" s="70" t="s">
        <v>165</v>
      </c>
      <c r="F118" s="111" t="s">
        <v>868</v>
      </c>
      <c r="G118" s="66">
        <v>906</v>
      </c>
      <c r="H118" s="67">
        <v>22</v>
      </c>
      <c r="I118" s="67">
        <v>19932</v>
      </c>
      <c r="J118" s="68">
        <v>123456789</v>
      </c>
      <c r="K118" s="69" t="s">
        <v>887</v>
      </c>
    </row>
    <row r="119" spans="2:11" ht="20.100000000000001" customHeight="1" x14ac:dyDescent="0.3">
      <c r="B119" s="62">
        <v>45046</v>
      </c>
      <c r="C119" s="63" t="s">
        <v>1004</v>
      </c>
      <c r="D119" s="64">
        <v>123456905</v>
      </c>
      <c r="E119" s="65" t="s">
        <v>166</v>
      </c>
      <c r="F119" s="53" t="s">
        <v>869</v>
      </c>
      <c r="G119" s="66">
        <v>645</v>
      </c>
      <c r="H119" s="67">
        <v>28</v>
      </c>
      <c r="I119" s="67">
        <v>18060</v>
      </c>
      <c r="J119" s="68">
        <v>123456789</v>
      </c>
      <c r="K119" s="69" t="s">
        <v>889</v>
      </c>
    </row>
    <row r="120" spans="2:11" ht="20.100000000000001" customHeight="1" x14ac:dyDescent="0.3">
      <c r="B120" s="62">
        <v>45047</v>
      </c>
      <c r="C120" s="63" t="s">
        <v>1005</v>
      </c>
      <c r="D120" s="64">
        <v>123456906</v>
      </c>
      <c r="E120" s="70" t="s">
        <v>167</v>
      </c>
      <c r="F120" s="111" t="s">
        <v>869</v>
      </c>
      <c r="G120" s="66">
        <v>762</v>
      </c>
      <c r="H120" s="67">
        <v>30</v>
      </c>
      <c r="I120" s="67">
        <v>22860</v>
      </c>
      <c r="J120" s="68">
        <v>123456789</v>
      </c>
      <c r="K120" s="69" t="s">
        <v>887</v>
      </c>
    </row>
    <row r="121" spans="2:11" ht="20.100000000000001" customHeight="1" x14ac:dyDescent="0.3">
      <c r="B121" s="62">
        <v>45048</v>
      </c>
      <c r="C121" s="63" t="s">
        <v>1006</v>
      </c>
      <c r="D121" s="64">
        <v>123456907</v>
      </c>
      <c r="E121" s="65" t="s">
        <v>168</v>
      </c>
      <c r="F121" s="53" t="s">
        <v>868</v>
      </c>
      <c r="G121" s="66">
        <v>753</v>
      </c>
      <c r="H121" s="67">
        <v>25</v>
      </c>
      <c r="I121" s="67">
        <v>18825</v>
      </c>
      <c r="J121" s="68">
        <v>123456789</v>
      </c>
      <c r="K121" s="69" t="s">
        <v>887</v>
      </c>
    </row>
    <row r="122" spans="2:11" ht="20.100000000000001" customHeight="1" x14ac:dyDescent="0.3">
      <c r="B122" s="62">
        <v>45049</v>
      </c>
      <c r="C122" s="63" t="s">
        <v>1007</v>
      </c>
      <c r="D122" s="64">
        <v>123456908</v>
      </c>
      <c r="E122" s="70" t="s">
        <v>169</v>
      </c>
      <c r="F122" s="111" t="s">
        <v>868</v>
      </c>
      <c r="G122" s="66">
        <v>585</v>
      </c>
      <c r="H122" s="67">
        <v>24</v>
      </c>
      <c r="I122" s="67">
        <v>14040</v>
      </c>
      <c r="J122" s="68">
        <v>123456789</v>
      </c>
      <c r="K122" s="69" t="s">
        <v>889</v>
      </c>
    </row>
    <row r="123" spans="2:11" ht="20.100000000000001" customHeight="1" x14ac:dyDescent="0.3">
      <c r="B123" s="62">
        <v>45050</v>
      </c>
      <c r="C123" s="63" t="s">
        <v>1008</v>
      </c>
      <c r="D123" s="64">
        <v>123456909</v>
      </c>
      <c r="E123" s="65" t="s">
        <v>170</v>
      </c>
      <c r="F123" s="53" t="s">
        <v>869</v>
      </c>
      <c r="G123" s="66">
        <v>589</v>
      </c>
      <c r="H123" s="67">
        <v>23</v>
      </c>
      <c r="I123" s="67">
        <v>13547</v>
      </c>
      <c r="J123" s="68">
        <v>123456789</v>
      </c>
      <c r="K123" s="69" t="s">
        <v>887</v>
      </c>
    </row>
    <row r="124" spans="2:11" ht="20.100000000000001" customHeight="1" x14ac:dyDescent="0.3">
      <c r="B124" s="62">
        <v>45051</v>
      </c>
      <c r="C124" s="63" t="s">
        <v>1009</v>
      </c>
      <c r="D124" s="64">
        <v>123456910</v>
      </c>
      <c r="E124" s="70" t="s">
        <v>171</v>
      </c>
      <c r="F124" s="111" t="s">
        <v>869</v>
      </c>
      <c r="G124" s="66">
        <v>808</v>
      </c>
      <c r="H124" s="67">
        <v>25</v>
      </c>
      <c r="I124" s="67">
        <v>20200</v>
      </c>
      <c r="J124" s="68">
        <v>123456789</v>
      </c>
      <c r="K124" s="69" t="s">
        <v>887</v>
      </c>
    </row>
    <row r="125" spans="2:11" ht="20.100000000000001" customHeight="1" x14ac:dyDescent="0.3">
      <c r="B125" s="62">
        <v>45052</v>
      </c>
      <c r="C125" s="63" t="s">
        <v>1010</v>
      </c>
      <c r="D125" s="64">
        <v>123456911</v>
      </c>
      <c r="E125" s="65" t="s">
        <v>172</v>
      </c>
      <c r="F125" s="53" t="s">
        <v>868</v>
      </c>
      <c r="G125" s="66">
        <v>937</v>
      </c>
      <c r="H125" s="67">
        <v>24</v>
      </c>
      <c r="I125" s="67">
        <v>22488</v>
      </c>
      <c r="J125" s="68">
        <v>123456789</v>
      </c>
      <c r="K125" s="69" t="s">
        <v>887</v>
      </c>
    </row>
    <row r="126" spans="2:11" ht="20.100000000000001" customHeight="1" x14ac:dyDescent="0.3">
      <c r="B126" s="62">
        <v>45053</v>
      </c>
      <c r="C126" s="63" t="s">
        <v>1011</v>
      </c>
      <c r="D126" s="64">
        <v>123456912</v>
      </c>
      <c r="E126" s="70" t="s">
        <v>173</v>
      </c>
      <c r="F126" s="111" t="s">
        <v>869</v>
      </c>
      <c r="G126" s="66">
        <v>778</v>
      </c>
      <c r="H126" s="67">
        <v>28</v>
      </c>
      <c r="I126" s="67">
        <v>21784</v>
      </c>
      <c r="J126" s="68">
        <v>123456789</v>
      </c>
      <c r="K126" s="69" t="s">
        <v>889</v>
      </c>
    </row>
    <row r="127" spans="2:11" ht="20.100000000000001" customHeight="1" x14ac:dyDescent="0.3">
      <c r="B127" s="62">
        <v>45054</v>
      </c>
      <c r="C127" s="63" t="s">
        <v>1012</v>
      </c>
      <c r="D127" s="64">
        <v>123456913</v>
      </c>
      <c r="E127" s="65" t="s">
        <v>174</v>
      </c>
      <c r="F127" s="53" t="s">
        <v>868</v>
      </c>
      <c r="G127" s="66">
        <v>779</v>
      </c>
      <c r="H127" s="67">
        <v>29</v>
      </c>
      <c r="I127" s="67">
        <v>22591</v>
      </c>
      <c r="J127" s="68">
        <v>123456789</v>
      </c>
      <c r="K127" s="69" t="s">
        <v>887</v>
      </c>
    </row>
    <row r="128" spans="2:11" ht="20.100000000000001" customHeight="1" x14ac:dyDescent="0.3">
      <c r="B128" s="62">
        <v>45055</v>
      </c>
      <c r="C128" s="63" t="s">
        <v>1013</v>
      </c>
      <c r="D128" s="64">
        <v>123456914</v>
      </c>
      <c r="E128" s="70" t="s">
        <v>175</v>
      </c>
      <c r="F128" s="111" t="s">
        <v>868</v>
      </c>
      <c r="G128" s="66">
        <v>644</v>
      </c>
      <c r="H128" s="67">
        <v>22</v>
      </c>
      <c r="I128" s="67">
        <v>14168</v>
      </c>
      <c r="J128" s="68">
        <v>123456789</v>
      </c>
      <c r="K128" s="69" t="s">
        <v>887</v>
      </c>
    </row>
    <row r="129" spans="2:11" ht="20.100000000000001" customHeight="1" x14ac:dyDescent="0.3">
      <c r="B129" s="62">
        <v>45056</v>
      </c>
      <c r="C129" s="63" t="s">
        <v>1014</v>
      </c>
      <c r="D129" s="64">
        <v>123456915</v>
      </c>
      <c r="E129" s="65" t="s">
        <v>176</v>
      </c>
      <c r="F129" s="53" t="s">
        <v>869</v>
      </c>
      <c r="G129" s="66">
        <v>944</v>
      </c>
      <c r="H129" s="67">
        <v>23</v>
      </c>
      <c r="I129" s="67">
        <v>21712</v>
      </c>
      <c r="J129" s="68">
        <v>123456789</v>
      </c>
      <c r="K129" s="69" t="s">
        <v>887</v>
      </c>
    </row>
    <row r="130" spans="2:11" ht="20.100000000000001" customHeight="1" x14ac:dyDescent="0.3">
      <c r="B130" s="62">
        <v>45057</v>
      </c>
      <c r="C130" s="63" t="s">
        <v>1015</v>
      </c>
      <c r="D130" s="64">
        <v>123456916</v>
      </c>
      <c r="E130" s="70" t="s">
        <v>177</v>
      </c>
      <c r="F130" s="111" t="s">
        <v>868</v>
      </c>
      <c r="G130" s="66">
        <v>969</v>
      </c>
      <c r="H130" s="67">
        <v>28</v>
      </c>
      <c r="I130" s="67">
        <v>27132</v>
      </c>
      <c r="J130" s="68">
        <v>123456789</v>
      </c>
      <c r="K130" s="69" t="s">
        <v>889</v>
      </c>
    </row>
    <row r="131" spans="2:11" ht="20.100000000000001" customHeight="1" x14ac:dyDescent="0.3">
      <c r="B131" s="62">
        <v>45058</v>
      </c>
      <c r="C131" s="63" t="s">
        <v>1016</v>
      </c>
      <c r="D131" s="64">
        <v>123456917</v>
      </c>
      <c r="E131" s="65" t="s">
        <v>178</v>
      </c>
      <c r="F131" s="53" t="s">
        <v>869</v>
      </c>
      <c r="G131" s="66">
        <v>595</v>
      </c>
      <c r="H131" s="67">
        <v>24</v>
      </c>
      <c r="I131" s="67">
        <v>14280</v>
      </c>
      <c r="J131" s="68">
        <v>123456789</v>
      </c>
      <c r="K131" s="69" t="s">
        <v>887</v>
      </c>
    </row>
    <row r="132" spans="2:11" ht="20.100000000000001" customHeight="1" x14ac:dyDescent="0.3">
      <c r="B132" s="62">
        <v>45059</v>
      </c>
      <c r="C132" s="63" t="s">
        <v>1017</v>
      </c>
      <c r="D132" s="64">
        <v>123456918</v>
      </c>
      <c r="E132" s="70" t="s">
        <v>179</v>
      </c>
      <c r="F132" s="111" t="s">
        <v>868</v>
      </c>
      <c r="G132" s="66">
        <v>636</v>
      </c>
      <c r="H132" s="67">
        <v>23</v>
      </c>
      <c r="I132" s="67">
        <v>14628</v>
      </c>
      <c r="J132" s="68">
        <v>123456789</v>
      </c>
      <c r="K132" s="69" t="s">
        <v>887</v>
      </c>
    </row>
    <row r="133" spans="2:11" ht="20.100000000000001" customHeight="1" x14ac:dyDescent="0.3">
      <c r="B133" s="62">
        <v>45060</v>
      </c>
      <c r="C133" s="63" t="s">
        <v>1018</v>
      </c>
      <c r="D133" s="64">
        <v>123456919</v>
      </c>
      <c r="E133" s="65" t="s">
        <v>180</v>
      </c>
      <c r="F133" s="53" t="s">
        <v>868</v>
      </c>
      <c r="G133" s="66">
        <v>696</v>
      </c>
      <c r="H133" s="67">
        <v>31</v>
      </c>
      <c r="I133" s="67">
        <v>21576</v>
      </c>
      <c r="J133" s="68">
        <v>123456789</v>
      </c>
      <c r="K133" s="69" t="s">
        <v>887</v>
      </c>
    </row>
    <row r="134" spans="2:11" ht="20.100000000000001" customHeight="1" x14ac:dyDescent="0.3">
      <c r="B134" s="62">
        <v>45061</v>
      </c>
      <c r="C134" s="63" t="s">
        <v>1019</v>
      </c>
      <c r="D134" s="64">
        <v>123456920</v>
      </c>
      <c r="E134" s="70" t="s">
        <v>181</v>
      </c>
      <c r="F134" s="111" t="s">
        <v>868</v>
      </c>
      <c r="G134" s="66">
        <v>800</v>
      </c>
      <c r="H134" s="67">
        <v>27</v>
      </c>
      <c r="I134" s="67">
        <v>21600</v>
      </c>
      <c r="J134" s="68">
        <v>123456789</v>
      </c>
      <c r="K134" s="69" t="s">
        <v>887</v>
      </c>
    </row>
    <row r="135" spans="2:11" ht="20.100000000000001" customHeight="1" x14ac:dyDescent="0.3">
      <c r="B135" s="62">
        <v>45062</v>
      </c>
      <c r="C135" s="63" t="s">
        <v>1020</v>
      </c>
      <c r="D135" s="64">
        <v>123456921</v>
      </c>
      <c r="E135" s="65" t="s">
        <v>182</v>
      </c>
      <c r="F135" s="53" t="s">
        <v>869</v>
      </c>
      <c r="G135" s="66">
        <v>525</v>
      </c>
      <c r="H135" s="67">
        <v>25</v>
      </c>
      <c r="I135" s="67">
        <v>13125</v>
      </c>
      <c r="J135" s="68">
        <v>123456789</v>
      </c>
      <c r="K135" s="69" t="s">
        <v>887</v>
      </c>
    </row>
    <row r="136" spans="2:11" ht="20.100000000000001" customHeight="1" x14ac:dyDescent="0.3">
      <c r="B136" s="62">
        <v>45063</v>
      </c>
      <c r="C136" s="63" t="s">
        <v>1021</v>
      </c>
      <c r="D136" s="64">
        <v>123456922</v>
      </c>
      <c r="E136" s="70" t="s">
        <v>183</v>
      </c>
      <c r="F136" s="111" t="s">
        <v>868</v>
      </c>
      <c r="G136" s="66">
        <v>996</v>
      </c>
      <c r="H136" s="67">
        <v>27</v>
      </c>
      <c r="I136" s="67">
        <v>26892</v>
      </c>
      <c r="J136" s="68">
        <v>123456789</v>
      </c>
      <c r="K136" s="69" t="s">
        <v>887</v>
      </c>
    </row>
    <row r="137" spans="2:11" ht="20.100000000000001" customHeight="1" x14ac:dyDescent="0.3">
      <c r="B137" s="62">
        <v>45064</v>
      </c>
      <c r="C137" s="63" t="s">
        <v>1022</v>
      </c>
      <c r="D137" s="64">
        <v>123456923</v>
      </c>
      <c r="E137" s="65" t="s">
        <v>184</v>
      </c>
      <c r="F137" s="53" t="s">
        <v>868</v>
      </c>
      <c r="G137" s="66">
        <v>868</v>
      </c>
      <c r="H137" s="67">
        <v>31</v>
      </c>
      <c r="I137" s="67">
        <v>26908</v>
      </c>
      <c r="J137" s="68">
        <v>123456789</v>
      </c>
      <c r="K137" s="69" t="s">
        <v>887</v>
      </c>
    </row>
    <row r="138" spans="2:11" ht="20.100000000000001" customHeight="1" x14ac:dyDescent="0.3">
      <c r="B138" s="62">
        <v>45065</v>
      </c>
      <c r="C138" s="63" t="s">
        <v>1023</v>
      </c>
      <c r="D138" s="64">
        <v>123456924</v>
      </c>
      <c r="E138" s="70" t="s">
        <v>185</v>
      </c>
      <c r="F138" s="111" t="s">
        <v>869</v>
      </c>
      <c r="G138" s="66">
        <v>553</v>
      </c>
      <c r="H138" s="67">
        <v>21</v>
      </c>
      <c r="I138" s="67">
        <v>11613</v>
      </c>
      <c r="J138" s="68">
        <v>123456789</v>
      </c>
      <c r="K138" s="69" t="s">
        <v>887</v>
      </c>
    </row>
    <row r="139" spans="2:11" ht="20.100000000000001" customHeight="1" x14ac:dyDescent="0.3">
      <c r="B139" s="62">
        <v>45066</v>
      </c>
      <c r="C139" s="63" t="s">
        <v>1024</v>
      </c>
      <c r="D139" s="64">
        <v>123456925</v>
      </c>
      <c r="E139" s="65" t="s">
        <v>186</v>
      </c>
      <c r="F139" s="53" t="s">
        <v>869</v>
      </c>
      <c r="G139" s="66">
        <v>945</v>
      </c>
      <c r="H139" s="67">
        <v>26</v>
      </c>
      <c r="I139" s="67">
        <v>24570</v>
      </c>
      <c r="J139" s="68">
        <v>123456789</v>
      </c>
      <c r="K139" s="69" t="s">
        <v>887</v>
      </c>
    </row>
    <row r="140" spans="2:11" ht="20.100000000000001" customHeight="1" x14ac:dyDescent="0.3">
      <c r="B140" s="62">
        <v>45067</v>
      </c>
      <c r="C140" s="63" t="s">
        <v>1025</v>
      </c>
      <c r="D140" s="64">
        <v>123456926</v>
      </c>
      <c r="E140" s="70" t="s">
        <v>187</v>
      </c>
      <c r="F140" s="111" t="s">
        <v>868</v>
      </c>
      <c r="G140" s="66">
        <v>968</v>
      </c>
      <c r="H140" s="67">
        <v>27</v>
      </c>
      <c r="I140" s="67">
        <v>26136</v>
      </c>
      <c r="J140" s="68">
        <v>123456789</v>
      </c>
      <c r="K140" s="69" t="s">
        <v>887</v>
      </c>
    </row>
    <row r="141" spans="2:11" ht="20.100000000000001" customHeight="1" x14ac:dyDescent="0.3">
      <c r="B141" s="62">
        <v>45068</v>
      </c>
      <c r="C141" s="63" t="s">
        <v>1026</v>
      </c>
      <c r="D141" s="64">
        <v>123456927</v>
      </c>
      <c r="E141" s="65" t="s">
        <v>188</v>
      </c>
      <c r="F141" s="53" t="s">
        <v>869</v>
      </c>
      <c r="G141" s="66">
        <v>500</v>
      </c>
      <c r="H141" s="67">
        <v>22</v>
      </c>
      <c r="I141" s="67">
        <v>11000</v>
      </c>
      <c r="J141" s="68">
        <v>123456789</v>
      </c>
      <c r="K141" s="69" t="s">
        <v>889</v>
      </c>
    </row>
    <row r="142" spans="2:11" ht="20.100000000000001" customHeight="1" x14ac:dyDescent="0.3">
      <c r="B142" s="62">
        <v>45069</v>
      </c>
      <c r="C142" s="63" t="s">
        <v>1027</v>
      </c>
      <c r="D142" s="64">
        <v>123456928</v>
      </c>
      <c r="E142" s="70" t="s">
        <v>189</v>
      </c>
      <c r="F142" s="111" t="s">
        <v>869</v>
      </c>
      <c r="G142" s="66">
        <v>950</v>
      </c>
      <c r="H142" s="67">
        <v>27</v>
      </c>
      <c r="I142" s="67">
        <v>25650</v>
      </c>
      <c r="J142" s="68">
        <v>123456789</v>
      </c>
      <c r="K142" s="69" t="s">
        <v>887</v>
      </c>
    </row>
    <row r="143" spans="2:11" ht="20.100000000000001" customHeight="1" x14ac:dyDescent="0.3">
      <c r="B143" s="62">
        <v>45070</v>
      </c>
      <c r="C143" s="63" t="s">
        <v>1028</v>
      </c>
      <c r="D143" s="64">
        <v>123456929</v>
      </c>
      <c r="E143" s="65" t="s">
        <v>190</v>
      </c>
      <c r="F143" s="53" t="s">
        <v>868</v>
      </c>
      <c r="G143" s="66">
        <v>651</v>
      </c>
      <c r="H143" s="67">
        <v>27</v>
      </c>
      <c r="I143" s="67">
        <v>17577</v>
      </c>
      <c r="J143" s="68">
        <v>123456789</v>
      </c>
      <c r="K143" s="69" t="s">
        <v>887</v>
      </c>
    </row>
    <row r="144" spans="2:11" ht="20.100000000000001" customHeight="1" x14ac:dyDescent="0.3">
      <c r="B144" s="62">
        <v>45071</v>
      </c>
      <c r="C144" s="63" t="s">
        <v>1029</v>
      </c>
      <c r="D144" s="64">
        <v>123456930</v>
      </c>
      <c r="E144" s="70" t="s">
        <v>191</v>
      </c>
      <c r="F144" s="111" t="s">
        <v>868</v>
      </c>
      <c r="G144" s="66">
        <v>541</v>
      </c>
      <c r="H144" s="67">
        <v>23</v>
      </c>
      <c r="I144" s="67">
        <v>12443</v>
      </c>
      <c r="J144" s="68">
        <v>123456789</v>
      </c>
      <c r="K144" s="69" t="s">
        <v>887</v>
      </c>
    </row>
    <row r="145" spans="2:11" ht="20.100000000000001" customHeight="1" x14ac:dyDescent="0.3">
      <c r="B145" s="62">
        <v>45072</v>
      </c>
      <c r="C145" s="63" t="s">
        <v>1030</v>
      </c>
      <c r="D145" s="64">
        <v>123456931</v>
      </c>
      <c r="E145" s="65" t="s">
        <v>192</v>
      </c>
      <c r="F145" s="53" t="s">
        <v>869</v>
      </c>
      <c r="G145" s="66">
        <v>897</v>
      </c>
      <c r="H145" s="67">
        <v>21</v>
      </c>
      <c r="I145" s="67">
        <v>18837</v>
      </c>
      <c r="J145" s="68">
        <v>123456789</v>
      </c>
      <c r="K145" s="69" t="s">
        <v>887</v>
      </c>
    </row>
    <row r="146" spans="2:11" ht="20.100000000000001" customHeight="1" x14ac:dyDescent="0.3">
      <c r="B146" s="62">
        <v>45073</v>
      </c>
      <c r="C146" s="63" t="s">
        <v>1031</v>
      </c>
      <c r="D146" s="64">
        <v>123456932</v>
      </c>
      <c r="E146" s="70" t="s">
        <v>193</v>
      </c>
      <c r="F146" s="111" t="s">
        <v>868</v>
      </c>
      <c r="G146" s="66">
        <v>638</v>
      </c>
      <c r="H146" s="67">
        <v>22</v>
      </c>
      <c r="I146" s="67">
        <v>14036</v>
      </c>
      <c r="J146" s="68">
        <v>123456789</v>
      </c>
      <c r="K146" s="69" t="s">
        <v>887</v>
      </c>
    </row>
    <row r="147" spans="2:11" ht="20.100000000000001" customHeight="1" x14ac:dyDescent="0.3">
      <c r="B147" s="62">
        <v>45074</v>
      </c>
      <c r="C147" s="63" t="s">
        <v>1032</v>
      </c>
      <c r="D147" s="64">
        <v>123456933</v>
      </c>
      <c r="E147" s="65" t="s">
        <v>194</v>
      </c>
      <c r="F147" s="53" t="s">
        <v>868</v>
      </c>
      <c r="G147" s="66">
        <v>502</v>
      </c>
      <c r="H147" s="67">
        <v>28</v>
      </c>
      <c r="I147" s="67">
        <v>14056</v>
      </c>
      <c r="J147" s="68">
        <v>123456789</v>
      </c>
      <c r="K147" s="69" t="s">
        <v>887</v>
      </c>
    </row>
    <row r="148" spans="2:11" ht="20.100000000000001" customHeight="1" x14ac:dyDescent="0.3">
      <c r="B148" s="62">
        <v>45075</v>
      </c>
      <c r="C148" s="63" t="s">
        <v>1033</v>
      </c>
      <c r="D148" s="64">
        <v>123456934</v>
      </c>
      <c r="E148" s="70" t="s">
        <v>195</v>
      </c>
      <c r="F148" s="111" t="s">
        <v>869</v>
      </c>
      <c r="G148" s="66">
        <v>920</v>
      </c>
      <c r="H148" s="67">
        <v>24</v>
      </c>
      <c r="I148" s="67">
        <v>22080</v>
      </c>
      <c r="J148" s="68">
        <v>123456789</v>
      </c>
      <c r="K148" s="69" t="s">
        <v>887</v>
      </c>
    </row>
    <row r="149" spans="2:11" ht="20.100000000000001" customHeight="1" x14ac:dyDescent="0.3">
      <c r="B149" s="62">
        <v>45076</v>
      </c>
      <c r="C149" s="63" t="s">
        <v>1034</v>
      </c>
      <c r="D149" s="64">
        <v>123456935</v>
      </c>
      <c r="E149" s="65" t="s">
        <v>196</v>
      </c>
      <c r="F149" s="53" t="s">
        <v>868</v>
      </c>
      <c r="G149" s="66">
        <v>581</v>
      </c>
      <c r="H149" s="67">
        <v>29</v>
      </c>
      <c r="I149" s="67">
        <v>16849</v>
      </c>
      <c r="J149" s="68">
        <v>123456789</v>
      </c>
      <c r="K149" s="69" t="s">
        <v>887</v>
      </c>
    </row>
    <row r="150" spans="2:11" ht="20.100000000000001" customHeight="1" x14ac:dyDescent="0.3">
      <c r="B150" s="62">
        <v>45077</v>
      </c>
      <c r="C150" s="63" t="s">
        <v>1035</v>
      </c>
      <c r="D150" s="64">
        <v>123456936</v>
      </c>
      <c r="E150" s="70" t="s">
        <v>197</v>
      </c>
      <c r="F150" s="111" t="s">
        <v>868</v>
      </c>
      <c r="G150" s="66">
        <v>623</v>
      </c>
      <c r="H150" s="67">
        <v>29</v>
      </c>
      <c r="I150" s="67">
        <v>18067</v>
      </c>
      <c r="J150" s="68">
        <v>123456789</v>
      </c>
      <c r="K150" s="69" t="s">
        <v>887</v>
      </c>
    </row>
    <row r="151" spans="2:11" ht="20.100000000000001" customHeight="1" x14ac:dyDescent="0.3">
      <c r="B151" s="62">
        <v>45078</v>
      </c>
      <c r="C151" s="63" t="s">
        <v>1036</v>
      </c>
      <c r="D151" s="64">
        <v>123456937</v>
      </c>
      <c r="E151" s="65" t="s">
        <v>198</v>
      </c>
      <c r="F151" s="53" t="s">
        <v>868</v>
      </c>
      <c r="G151" s="66">
        <v>769</v>
      </c>
      <c r="H151" s="67">
        <v>25</v>
      </c>
      <c r="I151" s="67">
        <v>19225</v>
      </c>
      <c r="J151" s="68">
        <v>123456789</v>
      </c>
      <c r="K151" s="69" t="s">
        <v>887</v>
      </c>
    </row>
    <row r="152" spans="2:11" ht="20.100000000000001" customHeight="1" x14ac:dyDescent="0.3">
      <c r="B152" s="62">
        <v>45079</v>
      </c>
      <c r="C152" s="63" t="s">
        <v>1037</v>
      </c>
      <c r="D152" s="64">
        <v>123456938</v>
      </c>
      <c r="E152" s="70" t="s">
        <v>199</v>
      </c>
      <c r="F152" s="111" t="s">
        <v>869</v>
      </c>
      <c r="G152" s="66">
        <v>793</v>
      </c>
      <c r="H152" s="67">
        <v>25</v>
      </c>
      <c r="I152" s="67">
        <v>19825</v>
      </c>
      <c r="J152" s="68">
        <v>123456789</v>
      </c>
      <c r="K152" s="69" t="s">
        <v>887</v>
      </c>
    </row>
    <row r="153" spans="2:11" ht="20.100000000000001" customHeight="1" x14ac:dyDescent="0.3">
      <c r="B153" s="62">
        <v>45080</v>
      </c>
      <c r="C153" s="63" t="s">
        <v>1038</v>
      </c>
      <c r="D153" s="64">
        <v>123456939</v>
      </c>
      <c r="E153" s="65" t="s">
        <v>200</v>
      </c>
      <c r="F153" s="53" t="s">
        <v>868</v>
      </c>
      <c r="G153" s="66">
        <v>922</v>
      </c>
      <c r="H153" s="67">
        <v>27</v>
      </c>
      <c r="I153" s="67">
        <v>24894</v>
      </c>
      <c r="J153" s="68">
        <v>123456789</v>
      </c>
      <c r="K153" s="69" t="s">
        <v>887</v>
      </c>
    </row>
    <row r="154" spans="2:11" ht="20.100000000000001" customHeight="1" x14ac:dyDescent="0.3">
      <c r="B154" s="62">
        <v>45081</v>
      </c>
      <c r="C154" s="63" t="s">
        <v>1039</v>
      </c>
      <c r="D154" s="64">
        <v>123456940</v>
      </c>
      <c r="E154" s="70" t="s">
        <v>201</v>
      </c>
      <c r="F154" s="111" t="s">
        <v>869</v>
      </c>
      <c r="G154" s="66">
        <v>862</v>
      </c>
      <c r="H154" s="67">
        <v>22</v>
      </c>
      <c r="I154" s="67">
        <v>18964</v>
      </c>
      <c r="J154" s="68">
        <v>123456789</v>
      </c>
      <c r="K154" s="69" t="s">
        <v>889</v>
      </c>
    </row>
    <row r="155" spans="2:11" ht="20.100000000000001" customHeight="1" x14ac:dyDescent="0.3">
      <c r="B155" s="62">
        <v>45082</v>
      </c>
      <c r="C155" s="63" t="s">
        <v>1040</v>
      </c>
      <c r="D155" s="64">
        <v>123456941</v>
      </c>
      <c r="E155" s="65" t="s">
        <v>202</v>
      </c>
      <c r="F155" s="53" t="s">
        <v>869</v>
      </c>
      <c r="G155" s="66">
        <v>568</v>
      </c>
      <c r="H155" s="67">
        <v>30</v>
      </c>
      <c r="I155" s="67">
        <v>17040</v>
      </c>
      <c r="J155" s="68">
        <v>123456789</v>
      </c>
      <c r="K155" s="69" t="s">
        <v>887</v>
      </c>
    </row>
    <row r="156" spans="2:11" ht="20.100000000000001" customHeight="1" x14ac:dyDescent="0.3">
      <c r="B156" s="62">
        <v>45083</v>
      </c>
      <c r="C156" s="63" t="s">
        <v>1041</v>
      </c>
      <c r="D156" s="64">
        <v>123456942</v>
      </c>
      <c r="E156" s="70" t="s">
        <v>203</v>
      </c>
      <c r="F156" s="111" t="s">
        <v>868</v>
      </c>
      <c r="G156" s="66">
        <v>692</v>
      </c>
      <c r="H156" s="67">
        <v>25</v>
      </c>
      <c r="I156" s="67">
        <v>17300</v>
      </c>
      <c r="J156" s="68">
        <v>123456789</v>
      </c>
      <c r="K156" s="69" t="s">
        <v>889</v>
      </c>
    </row>
    <row r="157" spans="2:11" ht="20.100000000000001" customHeight="1" x14ac:dyDescent="0.3">
      <c r="B157" s="62">
        <v>45084</v>
      </c>
      <c r="C157" s="63" t="s">
        <v>1042</v>
      </c>
      <c r="D157" s="64">
        <v>123456943</v>
      </c>
      <c r="E157" s="65" t="s">
        <v>204</v>
      </c>
      <c r="F157" s="53" t="s">
        <v>868</v>
      </c>
      <c r="G157" s="66">
        <v>537</v>
      </c>
      <c r="H157" s="67">
        <v>27</v>
      </c>
      <c r="I157" s="67">
        <v>14499</v>
      </c>
      <c r="J157" s="68">
        <v>123456789</v>
      </c>
      <c r="K157" s="69" t="s">
        <v>887</v>
      </c>
    </row>
    <row r="158" spans="2:11" ht="20.100000000000001" customHeight="1" x14ac:dyDescent="0.3">
      <c r="B158" s="62">
        <v>45085</v>
      </c>
      <c r="C158" s="63" t="s">
        <v>1043</v>
      </c>
      <c r="D158" s="64">
        <v>123456944</v>
      </c>
      <c r="E158" s="70" t="s">
        <v>205</v>
      </c>
      <c r="F158" s="111" t="s">
        <v>869</v>
      </c>
      <c r="G158" s="66">
        <v>950</v>
      </c>
      <c r="H158" s="67">
        <v>31</v>
      </c>
      <c r="I158" s="67">
        <v>29450</v>
      </c>
      <c r="J158" s="68">
        <v>123456789</v>
      </c>
      <c r="K158" s="69" t="s">
        <v>889</v>
      </c>
    </row>
    <row r="159" spans="2:11" ht="20.100000000000001" customHeight="1" x14ac:dyDescent="0.3">
      <c r="B159" s="62">
        <v>45086</v>
      </c>
      <c r="C159" s="63" t="s">
        <v>1044</v>
      </c>
      <c r="D159" s="64">
        <v>123456945</v>
      </c>
      <c r="E159" s="65" t="s">
        <v>206</v>
      </c>
      <c r="F159" s="53" t="s">
        <v>869</v>
      </c>
      <c r="G159" s="66">
        <v>932</v>
      </c>
      <c r="H159" s="67">
        <v>26</v>
      </c>
      <c r="I159" s="67">
        <v>24232</v>
      </c>
      <c r="J159" s="68">
        <v>123456789</v>
      </c>
      <c r="K159" s="69" t="s">
        <v>889</v>
      </c>
    </row>
    <row r="160" spans="2:11" ht="20.100000000000001" customHeight="1" x14ac:dyDescent="0.3">
      <c r="B160" s="62">
        <v>45087</v>
      </c>
      <c r="C160" s="63" t="s">
        <v>1045</v>
      </c>
      <c r="D160" s="64">
        <v>123456946</v>
      </c>
      <c r="E160" s="70" t="s">
        <v>207</v>
      </c>
      <c r="F160" s="111" t="s">
        <v>868</v>
      </c>
      <c r="G160" s="66">
        <v>736</v>
      </c>
      <c r="H160" s="67">
        <v>22</v>
      </c>
      <c r="I160" s="67">
        <v>16192</v>
      </c>
      <c r="J160" s="68">
        <v>123456789</v>
      </c>
      <c r="K160" s="69" t="s">
        <v>887</v>
      </c>
    </row>
    <row r="161" spans="2:11" ht="20.100000000000001" customHeight="1" x14ac:dyDescent="0.3">
      <c r="B161" s="62">
        <v>45088</v>
      </c>
      <c r="C161" s="63" t="s">
        <v>1046</v>
      </c>
      <c r="D161" s="64">
        <v>123456947</v>
      </c>
      <c r="E161" s="65" t="s">
        <v>208</v>
      </c>
      <c r="F161" s="53" t="s">
        <v>868</v>
      </c>
      <c r="G161" s="66">
        <v>570</v>
      </c>
      <c r="H161" s="67">
        <v>31</v>
      </c>
      <c r="I161" s="67">
        <v>17670</v>
      </c>
      <c r="J161" s="68">
        <v>123456789</v>
      </c>
      <c r="K161" s="69" t="s">
        <v>887</v>
      </c>
    </row>
    <row r="162" spans="2:11" ht="20.100000000000001" customHeight="1" x14ac:dyDescent="0.3">
      <c r="B162" s="62">
        <v>45089</v>
      </c>
      <c r="C162" s="63" t="s">
        <v>1047</v>
      </c>
      <c r="D162" s="64">
        <v>123456948</v>
      </c>
      <c r="E162" s="70" t="s">
        <v>209</v>
      </c>
      <c r="F162" s="111" t="s">
        <v>869</v>
      </c>
      <c r="G162" s="66">
        <v>980</v>
      </c>
      <c r="H162" s="67">
        <v>24</v>
      </c>
      <c r="I162" s="67">
        <v>23520</v>
      </c>
      <c r="J162" s="68">
        <v>123456789</v>
      </c>
      <c r="K162" s="69" t="s">
        <v>887</v>
      </c>
    </row>
    <row r="163" spans="2:11" ht="20.100000000000001" customHeight="1" x14ac:dyDescent="0.3">
      <c r="B163" s="62">
        <v>45090</v>
      </c>
      <c r="C163" s="63" t="s">
        <v>1048</v>
      </c>
      <c r="D163" s="64">
        <v>123456949</v>
      </c>
      <c r="E163" s="65" t="s">
        <v>210</v>
      </c>
      <c r="F163" s="53" t="s">
        <v>868</v>
      </c>
      <c r="G163" s="66">
        <v>635</v>
      </c>
      <c r="H163" s="67">
        <v>26</v>
      </c>
      <c r="I163" s="67">
        <v>16510</v>
      </c>
      <c r="J163" s="68">
        <v>123456789</v>
      </c>
      <c r="K163" s="69" t="s">
        <v>889</v>
      </c>
    </row>
    <row r="164" spans="2:11" ht="20.100000000000001" customHeight="1" x14ac:dyDescent="0.3">
      <c r="B164" s="62">
        <v>45091</v>
      </c>
      <c r="C164" s="63" t="s">
        <v>1049</v>
      </c>
      <c r="D164" s="64">
        <v>123456950</v>
      </c>
      <c r="E164" s="70" t="s">
        <v>211</v>
      </c>
      <c r="F164" s="111" t="s">
        <v>868</v>
      </c>
      <c r="G164" s="66">
        <v>819</v>
      </c>
      <c r="H164" s="67">
        <v>31</v>
      </c>
      <c r="I164" s="67">
        <v>25389</v>
      </c>
      <c r="J164" s="68">
        <v>123456789</v>
      </c>
      <c r="K164" s="69" t="s">
        <v>887</v>
      </c>
    </row>
    <row r="165" spans="2:11" ht="20.100000000000001" customHeight="1" x14ac:dyDescent="0.3">
      <c r="B165" s="62">
        <v>45092</v>
      </c>
      <c r="C165" s="63" t="s">
        <v>1050</v>
      </c>
      <c r="D165" s="64">
        <v>123456951</v>
      </c>
      <c r="E165" s="65" t="s">
        <v>212</v>
      </c>
      <c r="F165" s="53" t="s">
        <v>868</v>
      </c>
      <c r="G165" s="66">
        <v>950</v>
      </c>
      <c r="H165" s="67">
        <v>23</v>
      </c>
      <c r="I165" s="67">
        <v>21850</v>
      </c>
      <c r="J165" s="68">
        <v>123456789</v>
      </c>
      <c r="K165" s="69" t="s">
        <v>887</v>
      </c>
    </row>
    <row r="166" spans="2:11" ht="20.100000000000001" customHeight="1" x14ac:dyDescent="0.3">
      <c r="B166" s="62">
        <v>45093</v>
      </c>
      <c r="C166" s="63" t="s">
        <v>1051</v>
      </c>
      <c r="D166" s="64">
        <v>123456952</v>
      </c>
      <c r="E166" s="70" t="s">
        <v>213</v>
      </c>
      <c r="F166" s="111" t="s">
        <v>868</v>
      </c>
      <c r="G166" s="66">
        <v>517</v>
      </c>
      <c r="H166" s="67">
        <v>30</v>
      </c>
      <c r="I166" s="67">
        <v>15510</v>
      </c>
      <c r="J166" s="68">
        <v>123456789</v>
      </c>
      <c r="K166" s="69" t="s">
        <v>887</v>
      </c>
    </row>
    <row r="167" spans="2:11" ht="20.100000000000001" customHeight="1" x14ac:dyDescent="0.3">
      <c r="B167" s="62">
        <v>45094</v>
      </c>
      <c r="C167" s="63" t="s">
        <v>1052</v>
      </c>
      <c r="D167" s="64">
        <v>123456953</v>
      </c>
      <c r="E167" s="65" t="s">
        <v>214</v>
      </c>
      <c r="F167" s="53" t="s">
        <v>869</v>
      </c>
      <c r="G167" s="66">
        <v>696</v>
      </c>
      <c r="H167" s="67">
        <v>27</v>
      </c>
      <c r="I167" s="67">
        <v>18792</v>
      </c>
      <c r="J167" s="68">
        <v>123456789</v>
      </c>
      <c r="K167" s="69" t="s">
        <v>889</v>
      </c>
    </row>
    <row r="168" spans="2:11" ht="20.100000000000001" customHeight="1" x14ac:dyDescent="0.3">
      <c r="B168" s="62">
        <v>45095</v>
      </c>
      <c r="C168" s="63" t="s">
        <v>1053</v>
      </c>
      <c r="D168" s="64">
        <v>123456954</v>
      </c>
      <c r="E168" s="70" t="s">
        <v>215</v>
      </c>
      <c r="F168" s="111" t="s">
        <v>868</v>
      </c>
      <c r="G168" s="66">
        <v>771</v>
      </c>
      <c r="H168" s="67">
        <v>30</v>
      </c>
      <c r="I168" s="67">
        <v>23130</v>
      </c>
      <c r="J168" s="68">
        <v>123456789</v>
      </c>
      <c r="K168" s="69" t="s">
        <v>887</v>
      </c>
    </row>
    <row r="169" spans="2:11" ht="20.100000000000001" customHeight="1" x14ac:dyDescent="0.3">
      <c r="B169" s="62">
        <v>45096</v>
      </c>
      <c r="C169" s="63" t="s">
        <v>1054</v>
      </c>
      <c r="D169" s="64">
        <v>123456955</v>
      </c>
      <c r="E169" s="65" t="s">
        <v>216</v>
      </c>
      <c r="F169" s="53" t="s">
        <v>868</v>
      </c>
      <c r="G169" s="66">
        <v>646</v>
      </c>
      <c r="H169" s="67">
        <v>26</v>
      </c>
      <c r="I169" s="67">
        <v>16796</v>
      </c>
      <c r="J169" s="68">
        <v>123456789</v>
      </c>
      <c r="K169" s="69" t="s">
        <v>887</v>
      </c>
    </row>
    <row r="170" spans="2:11" ht="20.100000000000001" customHeight="1" x14ac:dyDescent="0.3">
      <c r="B170" s="62">
        <v>45097</v>
      </c>
      <c r="C170" s="63" t="s">
        <v>1055</v>
      </c>
      <c r="D170" s="64">
        <v>123456956</v>
      </c>
      <c r="E170" s="70" t="s">
        <v>217</v>
      </c>
      <c r="F170" s="111" t="s">
        <v>868</v>
      </c>
      <c r="G170" s="66">
        <v>966</v>
      </c>
      <c r="H170" s="67">
        <v>25</v>
      </c>
      <c r="I170" s="67">
        <v>24150</v>
      </c>
      <c r="J170" s="68">
        <v>123456789</v>
      </c>
      <c r="K170" s="69" t="s">
        <v>887</v>
      </c>
    </row>
    <row r="171" spans="2:11" ht="20.100000000000001" customHeight="1" x14ac:dyDescent="0.3">
      <c r="B171" s="62">
        <v>45098</v>
      </c>
      <c r="C171" s="63" t="s">
        <v>1056</v>
      </c>
      <c r="D171" s="64">
        <v>123456957</v>
      </c>
      <c r="E171" s="65" t="s">
        <v>218</v>
      </c>
      <c r="F171" s="53" t="s">
        <v>868</v>
      </c>
      <c r="G171" s="66">
        <v>955</v>
      </c>
      <c r="H171" s="67">
        <v>26</v>
      </c>
      <c r="I171" s="67">
        <v>24830</v>
      </c>
      <c r="J171" s="68">
        <v>123456789</v>
      </c>
      <c r="K171" s="69" t="s">
        <v>887</v>
      </c>
    </row>
    <row r="172" spans="2:11" ht="20.100000000000001" customHeight="1" x14ac:dyDescent="0.3">
      <c r="B172" s="62">
        <v>45099</v>
      </c>
      <c r="C172" s="63" t="s">
        <v>1057</v>
      </c>
      <c r="D172" s="64">
        <v>123456958</v>
      </c>
      <c r="E172" s="70" t="s">
        <v>219</v>
      </c>
      <c r="F172" s="111" t="s">
        <v>868</v>
      </c>
      <c r="G172" s="66">
        <v>910</v>
      </c>
      <c r="H172" s="67">
        <v>30</v>
      </c>
      <c r="I172" s="67">
        <v>27300</v>
      </c>
      <c r="J172" s="68">
        <v>123456789</v>
      </c>
      <c r="K172" s="69" t="s">
        <v>887</v>
      </c>
    </row>
    <row r="173" spans="2:11" ht="20.100000000000001" customHeight="1" x14ac:dyDescent="0.3">
      <c r="B173" s="62">
        <v>45100</v>
      </c>
      <c r="C173" s="63" t="s">
        <v>1058</v>
      </c>
      <c r="D173" s="64">
        <v>123456959</v>
      </c>
      <c r="E173" s="65" t="s">
        <v>220</v>
      </c>
      <c r="F173" s="53" t="s">
        <v>869</v>
      </c>
      <c r="G173" s="66">
        <v>945</v>
      </c>
      <c r="H173" s="67">
        <v>23</v>
      </c>
      <c r="I173" s="67">
        <v>21735</v>
      </c>
      <c r="J173" s="68">
        <v>123456789</v>
      </c>
      <c r="K173" s="69" t="s">
        <v>889</v>
      </c>
    </row>
    <row r="174" spans="2:11" ht="20.100000000000001" customHeight="1" x14ac:dyDescent="0.3">
      <c r="B174" s="62">
        <v>45101</v>
      </c>
      <c r="C174" s="63" t="s">
        <v>1059</v>
      </c>
      <c r="D174" s="64">
        <v>123456960</v>
      </c>
      <c r="E174" s="70" t="s">
        <v>221</v>
      </c>
      <c r="F174" s="111" t="s">
        <v>868</v>
      </c>
      <c r="G174" s="66">
        <v>563</v>
      </c>
      <c r="H174" s="67">
        <v>27</v>
      </c>
      <c r="I174" s="67">
        <v>15201</v>
      </c>
      <c r="J174" s="68">
        <v>123456789</v>
      </c>
      <c r="K174" s="69" t="s">
        <v>887</v>
      </c>
    </row>
    <row r="175" spans="2:11" ht="20.100000000000001" customHeight="1" x14ac:dyDescent="0.3">
      <c r="B175" s="62">
        <v>45102</v>
      </c>
      <c r="C175" s="63" t="s">
        <v>1060</v>
      </c>
      <c r="D175" s="64">
        <v>123456961</v>
      </c>
      <c r="E175" s="65" t="s">
        <v>222</v>
      </c>
      <c r="F175" s="53" t="s">
        <v>868</v>
      </c>
      <c r="G175" s="66">
        <v>727</v>
      </c>
      <c r="H175" s="67">
        <v>28</v>
      </c>
      <c r="I175" s="67">
        <v>20356</v>
      </c>
      <c r="J175" s="68">
        <v>123456789</v>
      </c>
      <c r="K175" s="69" t="s">
        <v>887</v>
      </c>
    </row>
    <row r="176" spans="2:11" ht="20.100000000000001" customHeight="1" x14ac:dyDescent="0.3">
      <c r="B176" s="62">
        <v>45103</v>
      </c>
      <c r="C176" s="63" t="s">
        <v>1061</v>
      </c>
      <c r="D176" s="64">
        <v>123456962</v>
      </c>
      <c r="E176" s="70" t="s">
        <v>223</v>
      </c>
      <c r="F176" s="111" t="s">
        <v>869</v>
      </c>
      <c r="G176" s="66">
        <v>649</v>
      </c>
      <c r="H176" s="67">
        <v>28</v>
      </c>
      <c r="I176" s="67">
        <v>18172</v>
      </c>
      <c r="J176" s="68">
        <v>123456789</v>
      </c>
      <c r="K176" s="69" t="s">
        <v>889</v>
      </c>
    </row>
    <row r="177" spans="2:11" ht="20.100000000000001" customHeight="1" x14ac:dyDescent="0.3">
      <c r="B177" s="62">
        <v>45104</v>
      </c>
      <c r="C177" s="63" t="s">
        <v>1062</v>
      </c>
      <c r="D177" s="64">
        <v>123456963</v>
      </c>
      <c r="E177" s="65" t="s">
        <v>224</v>
      </c>
      <c r="F177" s="53" t="s">
        <v>868</v>
      </c>
      <c r="G177" s="66">
        <v>668</v>
      </c>
      <c r="H177" s="67">
        <v>22</v>
      </c>
      <c r="I177" s="67">
        <v>14696</v>
      </c>
      <c r="J177" s="68">
        <v>123456789</v>
      </c>
      <c r="K177" s="69" t="s">
        <v>887</v>
      </c>
    </row>
    <row r="178" spans="2:11" ht="20.100000000000001" customHeight="1" x14ac:dyDescent="0.3">
      <c r="B178" s="62">
        <v>45105</v>
      </c>
      <c r="C178" s="63" t="s">
        <v>1063</v>
      </c>
      <c r="D178" s="64">
        <v>123456964</v>
      </c>
      <c r="E178" s="70" t="s">
        <v>225</v>
      </c>
      <c r="F178" s="111" t="s">
        <v>869</v>
      </c>
      <c r="G178" s="66">
        <v>819</v>
      </c>
      <c r="H178" s="67">
        <v>29</v>
      </c>
      <c r="I178" s="67">
        <v>23751</v>
      </c>
      <c r="J178" s="68">
        <v>123456789</v>
      </c>
      <c r="K178" s="69" t="s">
        <v>887</v>
      </c>
    </row>
    <row r="179" spans="2:11" ht="20.100000000000001" customHeight="1" x14ac:dyDescent="0.3">
      <c r="B179" s="62">
        <v>45106</v>
      </c>
      <c r="C179" s="63" t="s">
        <v>1064</v>
      </c>
      <c r="D179" s="64">
        <v>123456965</v>
      </c>
      <c r="E179" s="65" t="s">
        <v>226</v>
      </c>
      <c r="F179" s="53" t="s">
        <v>868</v>
      </c>
      <c r="G179" s="66">
        <v>510</v>
      </c>
      <c r="H179" s="67">
        <v>26</v>
      </c>
      <c r="I179" s="67">
        <v>13260</v>
      </c>
      <c r="J179" s="68">
        <v>123456789</v>
      </c>
      <c r="K179" s="69" t="s">
        <v>887</v>
      </c>
    </row>
    <row r="180" spans="2:11" ht="20.100000000000001" customHeight="1" x14ac:dyDescent="0.3">
      <c r="B180" s="62">
        <v>45107</v>
      </c>
      <c r="C180" s="63" t="s">
        <v>1065</v>
      </c>
      <c r="D180" s="64">
        <v>123456966</v>
      </c>
      <c r="E180" s="70" t="s">
        <v>227</v>
      </c>
      <c r="F180" s="111" t="s">
        <v>868</v>
      </c>
      <c r="G180" s="66">
        <v>755</v>
      </c>
      <c r="H180" s="67">
        <v>28</v>
      </c>
      <c r="I180" s="67">
        <v>21140</v>
      </c>
      <c r="J180" s="68">
        <v>123456789</v>
      </c>
      <c r="K180" s="69" t="s">
        <v>887</v>
      </c>
    </row>
    <row r="181" spans="2:11" ht="20.100000000000001" customHeight="1" x14ac:dyDescent="0.3">
      <c r="B181" s="62">
        <v>45108</v>
      </c>
      <c r="C181" s="63" t="s">
        <v>1066</v>
      </c>
      <c r="D181" s="64">
        <v>123456967</v>
      </c>
      <c r="E181" s="65" t="s">
        <v>228</v>
      </c>
      <c r="F181" s="53" t="s">
        <v>868</v>
      </c>
      <c r="G181" s="66">
        <v>654</v>
      </c>
      <c r="H181" s="67">
        <v>30</v>
      </c>
      <c r="I181" s="67">
        <v>19620</v>
      </c>
      <c r="J181" s="68">
        <v>123456789</v>
      </c>
      <c r="K181" s="69" t="s">
        <v>887</v>
      </c>
    </row>
    <row r="182" spans="2:11" ht="20.100000000000001" customHeight="1" x14ac:dyDescent="0.3">
      <c r="B182" s="62">
        <v>45109</v>
      </c>
      <c r="C182" s="63" t="s">
        <v>1067</v>
      </c>
      <c r="D182" s="64">
        <v>123456968</v>
      </c>
      <c r="E182" s="70" t="s">
        <v>229</v>
      </c>
      <c r="F182" s="111" t="s">
        <v>868</v>
      </c>
      <c r="G182" s="66">
        <v>953</v>
      </c>
      <c r="H182" s="67">
        <v>23</v>
      </c>
      <c r="I182" s="67">
        <v>21919</v>
      </c>
      <c r="J182" s="68">
        <v>123456789</v>
      </c>
      <c r="K182" s="69" t="s">
        <v>889</v>
      </c>
    </row>
    <row r="183" spans="2:11" ht="20.100000000000001" customHeight="1" x14ac:dyDescent="0.3">
      <c r="B183" s="62">
        <v>45110</v>
      </c>
      <c r="C183" s="63" t="s">
        <v>1068</v>
      </c>
      <c r="D183" s="64">
        <v>123456969</v>
      </c>
      <c r="E183" s="65" t="s">
        <v>230</v>
      </c>
      <c r="F183" s="53" t="s">
        <v>869</v>
      </c>
      <c r="G183" s="66">
        <v>961</v>
      </c>
      <c r="H183" s="67">
        <v>27</v>
      </c>
      <c r="I183" s="67">
        <v>25947</v>
      </c>
      <c r="J183" s="68">
        <v>123456789</v>
      </c>
      <c r="K183" s="69" t="s">
        <v>887</v>
      </c>
    </row>
    <row r="184" spans="2:11" ht="20.100000000000001" customHeight="1" x14ac:dyDescent="0.3">
      <c r="B184" s="62">
        <v>45111</v>
      </c>
      <c r="C184" s="63" t="s">
        <v>1069</v>
      </c>
      <c r="D184" s="64">
        <v>123456970</v>
      </c>
      <c r="E184" s="70" t="s">
        <v>231</v>
      </c>
      <c r="F184" s="111" t="s">
        <v>868</v>
      </c>
      <c r="G184" s="66">
        <v>641</v>
      </c>
      <c r="H184" s="67">
        <v>26</v>
      </c>
      <c r="I184" s="67">
        <v>16666</v>
      </c>
      <c r="J184" s="68">
        <v>123456789</v>
      </c>
      <c r="K184" s="69" t="s">
        <v>887</v>
      </c>
    </row>
    <row r="185" spans="2:11" ht="20.100000000000001" customHeight="1" x14ac:dyDescent="0.3">
      <c r="B185" s="62">
        <v>45112</v>
      </c>
      <c r="C185" s="63" t="s">
        <v>1070</v>
      </c>
      <c r="D185" s="64">
        <v>123456971</v>
      </c>
      <c r="E185" s="65" t="s">
        <v>232</v>
      </c>
      <c r="F185" s="53" t="s">
        <v>868</v>
      </c>
      <c r="G185" s="66">
        <v>586</v>
      </c>
      <c r="H185" s="67">
        <v>25</v>
      </c>
      <c r="I185" s="67">
        <v>14650</v>
      </c>
      <c r="J185" s="68">
        <v>123456789</v>
      </c>
      <c r="K185" s="69" t="s">
        <v>887</v>
      </c>
    </row>
    <row r="186" spans="2:11" ht="20.100000000000001" customHeight="1" x14ac:dyDescent="0.3">
      <c r="B186" s="62">
        <v>45113</v>
      </c>
      <c r="C186" s="63" t="s">
        <v>1071</v>
      </c>
      <c r="D186" s="64">
        <v>123456972</v>
      </c>
      <c r="E186" s="70" t="s">
        <v>233</v>
      </c>
      <c r="F186" s="111" t="s">
        <v>869</v>
      </c>
      <c r="G186" s="66">
        <v>937</v>
      </c>
      <c r="H186" s="67">
        <v>25</v>
      </c>
      <c r="I186" s="67">
        <v>23425</v>
      </c>
      <c r="J186" s="68">
        <v>123456789</v>
      </c>
      <c r="K186" s="69" t="s">
        <v>887</v>
      </c>
    </row>
    <row r="187" spans="2:11" ht="20.100000000000001" customHeight="1" x14ac:dyDescent="0.3">
      <c r="B187" s="62">
        <v>45114</v>
      </c>
      <c r="C187" s="63" t="s">
        <v>1072</v>
      </c>
      <c r="D187" s="64">
        <v>123456973</v>
      </c>
      <c r="E187" s="65" t="s">
        <v>234</v>
      </c>
      <c r="F187" s="53" t="s">
        <v>868</v>
      </c>
      <c r="G187" s="66">
        <v>676</v>
      </c>
      <c r="H187" s="67">
        <v>22</v>
      </c>
      <c r="I187" s="67">
        <v>14872</v>
      </c>
      <c r="J187" s="68">
        <v>123456789</v>
      </c>
      <c r="K187" s="69" t="s">
        <v>887</v>
      </c>
    </row>
    <row r="188" spans="2:11" ht="20.100000000000001" customHeight="1" x14ac:dyDescent="0.3">
      <c r="B188" s="62">
        <v>45115</v>
      </c>
      <c r="C188" s="63" t="s">
        <v>1073</v>
      </c>
      <c r="D188" s="64">
        <v>123456974</v>
      </c>
      <c r="E188" s="70" t="s">
        <v>235</v>
      </c>
      <c r="F188" s="111" t="s">
        <v>868</v>
      </c>
      <c r="G188" s="66">
        <v>824</v>
      </c>
      <c r="H188" s="67">
        <v>31</v>
      </c>
      <c r="I188" s="67">
        <v>25544</v>
      </c>
      <c r="J188" s="68">
        <v>123456789</v>
      </c>
      <c r="K188" s="69" t="s">
        <v>889</v>
      </c>
    </row>
    <row r="189" spans="2:11" ht="20.100000000000001" customHeight="1" x14ac:dyDescent="0.3">
      <c r="B189" s="62">
        <v>45116</v>
      </c>
      <c r="C189" s="63" t="s">
        <v>1074</v>
      </c>
      <c r="D189" s="64">
        <v>123456975</v>
      </c>
      <c r="E189" s="65" t="s">
        <v>236</v>
      </c>
      <c r="F189" s="53" t="s">
        <v>869</v>
      </c>
      <c r="G189" s="66">
        <v>867</v>
      </c>
      <c r="H189" s="67">
        <v>24</v>
      </c>
      <c r="I189" s="67">
        <v>20808</v>
      </c>
      <c r="J189" s="68">
        <v>123456789</v>
      </c>
      <c r="K189" s="69" t="s">
        <v>889</v>
      </c>
    </row>
    <row r="190" spans="2:11" ht="20.100000000000001" customHeight="1" x14ac:dyDescent="0.3">
      <c r="B190" s="62">
        <v>45117</v>
      </c>
      <c r="C190" s="63" t="s">
        <v>1075</v>
      </c>
      <c r="D190" s="64">
        <v>123456976</v>
      </c>
      <c r="E190" s="70" t="s">
        <v>237</v>
      </c>
      <c r="F190" s="111" t="s">
        <v>868</v>
      </c>
      <c r="G190" s="66">
        <v>505</v>
      </c>
      <c r="H190" s="67">
        <v>29</v>
      </c>
      <c r="I190" s="67">
        <v>14645</v>
      </c>
      <c r="J190" s="68">
        <v>123456789</v>
      </c>
      <c r="K190" s="69" t="s">
        <v>887</v>
      </c>
    </row>
    <row r="191" spans="2:11" ht="20.100000000000001" customHeight="1" x14ac:dyDescent="0.3">
      <c r="B191" s="62">
        <v>45118</v>
      </c>
      <c r="C191" s="63" t="s">
        <v>1076</v>
      </c>
      <c r="D191" s="64">
        <v>123456977</v>
      </c>
      <c r="E191" s="65" t="s">
        <v>238</v>
      </c>
      <c r="F191" s="53" t="s">
        <v>869</v>
      </c>
      <c r="G191" s="66">
        <v>705</v>
      </c>
      <c r="H191" s="67">
        <v>29</v>
      </c>
      <c r="I191" s="67">
        <v>20445</v>
      </c>
      <c r="J191" s="68">
        <v>123456789</v>
      </c>
      <c r="K191" s="69" t="s">
        <v>889</v>
      </c>
    </row>
    <row r="192" spans="2:11" ht="20.100000000000001" customHeight="1" x14ac:dyDescent="0.3">
      <c r="B192" s="62">
        <v>45119</v>
      </c>
      <c r="C192" s="63" t="s">
        <v>1077</v>
      </c>
      <c r="D192" s="64">
        <v>123456978</v>
      </c>
      <c r="E192" s="70" t="s">
        <v>239</v>
      </c>
      <c r="F192" s="111" t="s">
        <v>869</v>
      </c>
      <c r="G192" s="66">
        <v>543</v>
      </c>
      <c r="H192" s="67">
        <v>21</v>
      </c>
      <c r="I192" s="67">
        <v>11403</v>
      </c>
      <c r="J192" s="68">
        <v>123456789</v>
      </c>
      <c r="K192" s="69" t="s">
        <v>887</v>
      </c>
    </row>
    <row r="193" spans="2:11" ht="20.100000000000001" customHeight="1" x14ac:dyDescent="0.3">
      <c r="B193" s="62">
        <v>45120</v>
      </c>
      <c r="C193" s="63" t="s">
        <v>1078</v>
      </c>
      <c r="D193" s="64">
        <v>123456979</v>
      </c>
      <c r="E193" s="65" t="s">
        <v>240</v>
      </c>
      <c r="F193" s="53" t="s">
        <v>868</v>
      </c>
      <c r="G193" s="66">
        <v>784</v>
      </c>
      <c r="H193" s="67">
        <v>28</v>
      </c>
      <c r="I193" s="67">
        <v>21952</v>
      </c>
      <c r="J193" s="68">
        <v>123456789</v>
      </c>
      <c r="K193" s="69" t="s">
        <v>887</v>
      </c>
    </row>
    <row r="194" spans="2:11" ht="20.100000000000001" customHeight="1" x14ac:dyDescent="0.3">
      <c r="B194" s="62">
        <v>45121</v>
      </c>
      <c r="C194" s="63" t="s">
        <v>1079</v>
      </c>
      <c r="D194" s="64">
        <v>123456980</v>
      </c>
      <c r="E194" s="70" t="s">
        <v>241</v>
      </c>
      <c r="F194" s="111" t="s">
        <v>868</v>
      </c>
      <c r="G194" s="66">
        <v>712</v>
      </c>
      <c r="H194" s="67">
        <v>31</v>
      </c>
      <c r="I194" s="67">
        <v>22072</v>
      </c>
      <c r="J194" s="68">
        <v>123456789</v>
      </c>
      <c r="K194" s="69" t="s">
        <v>887</v>
      </c>
    </row>
    <row r="195" spans="2:11" ht="20.100000000000001" customHeight="1" x14ac:dyDescent="0.3">
      <c r="B195" s="62">
        <v>45122</v>
      </c>
      <c r="C195" s="63" t="s">
        <v>1080</v>
      </c>
      <c r="D195" s="64">
        <v>123456981</v>
      </c>
      <c r="E195" s="65" t="s">
        <v>242</v>
      </c>
      <c r="F195" s="53" t="s">
        <v>868</v>
      </c>
      <c r="G195" s="66">
        <v>635</v>
      </c>
      <c r="H195" s="67">
        <v>21</v>
      </c>
      <c r="I195" s="67">
        <v>13335</v>
      </c>
      <c r="J195" s="68">
        <v>123456789</v>
      </c>
      <c r="K195" s="69" t="s">
        <v>887</v>
      </c>
    </row>
    <row r="196" spans="2:11" ht="20.100000000000001" customHeight="1" x14ac:dyDescent="0.3">
      <c r="B196" s="62">
        <v>45123</v>
      </c>
      <c r="C196" s="63" t="s">
        <v>1081</v>
      </c>
      <c r="D196" s="64">
        <v>123456982</v>
      </c>
      <c r="E196" s="70" t="s">
        <v>243</v>
      </c>
      <c r="F196" s="111" t="s">
        <v>868</v>
      </c>
      <c r="G196" s="66">
        <v>510</v>
      </c>
      <c r="H196" s="67">
        <v>31</v>
      </c>
      <c r="I196" s="67">
        <v>15810</v>
      </c>
      <c r="J196" s="68">
        <v>123456789</v>
      </c>
      <c r="K196" s="69" t="s">
        <v>887</v>
      </c>
    </row>
    <row r="197" spans="2:11" ht="20.100000000000001" customHeight="1" x14ac:dyDescent="0.3">
      <c r="B197" s="62">
        <v>45124</v>
      </c>
      <c r="C197" s="63" t="s">
        <v>1082</v>
      </c>
      <c r="D197" s="64">
        <v>123456983</v>
      </c>
      <c r="E197" s="65" t="s">
        <v>244</v>
      </c>
      <c r="F197" s="53" t="s">
        <v>868</v>
      </c>
      <c r="G197" s="66">
        <v>664</v>
      </c>
      <c r="H197" s="67">
        <v>27</v>
      </c>
      <c r="I197" s="67">
        <v>17928</v>
      </c>
      <c r="J197" s="68">
        <v>123456789</v>
      </c>
      <c r="K197" s="69" t="s">
        <v>887</v>
      </c>
    </row>
    <row r="198" spans="2:11" ht="20.100000000000001" customHeight="1" x14ac:dyDescent="0.3">
      <c r="B198" s="62">
        <v>45125</v>
      </c>
      <c r="C198" s="63" t="s">
        <v>1083</v>
      </c>
      <c r="D198" s="64">
        <v>123456984</v>
      </c>
      <c r="E198" s="70" t="s">
        <v>245</v>
      </c>
      <c r="F198" s="111" t="s">
        <v>869</v>
      </c>
      <c r="G198" s="66">
        <v>882</v>
      </c>
      <c r="H198" s="67">
        <v>21</v>
      </c>
      <c r="I198" s="67">
        <v>18522</v>
      </c>
      <c r="J198" s="68">
        <v>123456789</v>
      </c>
      <c r="K198" s="69" t="s">
        <v>887</v>
      </c>
    </row>
    <row r="199" spans="2:11" ht="20.100000000000001" customHeight="1" x14ac:dyDescent="0.3">
      <c r="B199" s="62">
        <v>45126</v>
      </c>
      <c r="C199" s="63" t="s">
        <v>1084</v>
      </c>
      <c r="D199" s="64">
        <v>123456985</v>
      </c>
      <c r="E199" s="65" t="s">
        <v>246</v>
      </c>
      <c r="F199" s="53" t="s">
        <v>868</v>
      </c>
      <c r="G199" s="66">
        <v>765</v>
      </c>
      <c r="H199" s="67">
        <v>21</v>
      </c>
      <c r="I199" s="67">
        <v>16065</v>
      </c>
      <c r="J199" s="68">
        <v>123456789</v>
      </c>
      <c r="K199" s="69" t="s">
        <v>887</v>
      </c>
    </row>
    <row r="200" spans="2:11" ht="20.100000000000001" customHeight="1" x14ac:dyDescent="0.3">
      <c r="B200" s="62">
        <v>45127</v>
      </c>
      <c r="C200" s="63" t="s">
        <v>1085</v>
      </c>
      <c r="D200" s="64">
        <v>123456986</v>
      </c>
      <c r="E200" s="70" t="s">
        <v>247</v>
      </c>
      <c r="F200" s="111" t="s">
        <v>868</v>
      </c>
      <c r="G200" s="66">
        <v>915</v>
      </c>
      <c r="H200" s="67">
        <v>28</v>
      </c>
      <c r="I200" s="67">
        <v>25620</v>
      </c>
      <c r="J200" s="68">
        <v>123456789</v>
      </c>
      <c r="K200" s="69" t="s">
        <v>887</v>
      </c>
    </row>
    <row r="201" spans="2:11" ht="20.100000000000001" customHeight="1" x14ac:dyDescent="0.3">
      <c r="B201" s="62">
        <v>45128</v>
      </c>
      <c r="C201" s="63" t="s">
        <v>1086</v>
      </c>
      <c r="D201" s="64">
        <v>123456987</v>
      </c>
      <c r="E201" s="65" t="s">
        <v>248</v>
      </c>
      <c r="F201" s="53" t="s">
        <v>869</v>
      </c>
      <c r="G201" s="66">
        <v>705</v>
      </c>
      <c r="H201" s="67">
        <v>31</v>
      </c>
      <c r="I201" s="67">
        <v>21855</v>
      </c>
      <c r="J201" s="68">
        <v>123456789</v>
      </c>
      <c r="K201" s="69" t="s">
        <v>889</v>
      </c>
    </row>
    <row r="202" spans="2:11" ht="20.100000000000001" customHeight="1" x14ac:dyDescent="0.3">
      <c r="B202" s="62">
        <v>45129</v>
      </c>
      <c r="C202" s="63" t="s">
        <v>1087</v>
      </c>
      <c r="D202" s="64">
        <v>123456988</v>
      </c>
      <c r="E202" s="70" t="s">
        <v>249</v>
      </c>
      <c r="F202" s="111" t="s">
        <v>869</v>
      </c>
      <c r="G202" s="66">
        <v>877</v>
      </c>
      <c r="H202" s="67">
        <v>21</v>
      </c>
      <c r="I202" s="67">
        <v>18417</v>
      </c>
      <c r="J202" s="68">
        <v>123456789</v>
      </c>
      <c r="K202" s="69" t="s">
        <v>887</v>
      </c>
    </row>
    <row r="203" spans="2:11" ht="20.100000000000001" customHeight="1" x14ac:dyDescent="0.3">
      <c r="B203" s="62">
        <v>45130</v>
      </c>
      <c r="C203" s="63" t="s">
        <v>1088</v>
      </c>
      <c r="D203" s="64">
        <v>123456989</v>
      </c>
      <c r="E203" s="65" t="s">
        <v>250</v>
      </c>
      <c r="F203" s="53" t="s">
        <v>868</v>
      </c>
      <c r="G203" s="66">
        <v>642</v>
      </c>
      <c r="H203" s="67">
        <v>26</v>
      </c>
      <c r="I203" s="67">
        <v>16692</v>
      </c>
      <c r="J203" s="68">
        <v>123456789</v>
      </c>
      <c r="K203" s="69" t="s">
        <v>887</v>
      </c>
    </row>
    <row r="204" spans="2:11" ht="20.100000000000001" customHeight="1" x14ac:dyDescent="0.3">
      <c r="B204" s="62">
        <v>45131</v>
      </c>
      <c r="C204" s="63" t="s">
        <v>1089</v>
      </c>
      <c r="D204" s="64">
        <v>123456990</v>
      </c>
      <c r="E204" s="70" t="s">
        <v>251</v>
      </c>
      <c r="F204" s="111" t="s">
        <v>868</v>
      </c>
      <c r="G204" s="66">
        <v>632</v>
      </c>
      <c r="H204" s="67">
        <v>21</v>
      </c>
      <c r="I204" s="67">
        <v>13272</v>
      </c>
      <c r="J204" s="68">
        <v>123456789</v>
      </c>
      <c r="K204" s="69" t="s">
        <v>887</v>
      </c>
    </row>
    <row r="205" spans="2:11" ht="20.100000000000001" customHeight="1" x14ac:dyDescent="0.3">
      <c r="B205" s="62">
        <v>45132</v>
      </c>
      <c r="C205" s="63" t="s">
        <v>1090</v>
      </c>
      <c r="D205" s="64">
        <v>123456991</v>
      </c>
      <c r="E205" s="65" t="s">
        <v>252</v>
      </c>
      <c r="F205" s="53" t="s">
        <v>868</v>
      </c>
      <c r="G205" s="66">
        <v>529</v>
      </c>
      <c r="H205" s="67">
        <v>30</v>
      </c>
      <c r="I205" s="67">
        <v>15870</v>
      </c>
      <c r="J205" s="68">
        <v>123456789</v>
      </c>
      <c r="K205" s="69" t="s">
        <v>887</v>
      </c>
    </row>
    <row r="206" spans="2:11" ht="20.100000000000001" customHeight="1" x14ac:dyDescent="0.3">
      <c r="B206" s="62">
        <v>45133</v>
      </c>
      <c r="C206" s="63" t="s">
        <v>1091</v>
      </c>
      <c r="D206" s="64">
        <v>123456992</v>
      </c>
      <c r="E206" s="70" t="s">
        <v>253</v>
      </c>
      <c r="F206" s="111" t="s">
        <v>868</v>
      </c>
      <c r="G206" s="66">
        <v>888</v>
      </c>
      <c r="H206" s="67">
        <v>23</v>
      </c>
      <c r="I206" s="67">
        <v>20424</v>
      </c>
      <c r="J206" s="68">
        <v>123456789</v>
      </c>
      <c r="K206" s="69" t="s">
        <v>887</v>
      </c>
    </row>
    <row r="207" spans="2:11" ht="20.100000000000001" customHeight="1" x14ac:dyDescent="0.3">
      <c r="B207" s="62">
        <v>45134</v>
      </c>
      <c r="C207" s="63" t="s">
        <v>1092</v>
      </c>
      <c r="D207" s="64">
        <v>123456993</v>
      </c>
      <c r="E207" s="65" t="s">
        <v>254</v>
      </c>
      <c r="F207" s="53" t="s">
        <v>868</v>
      </c>
      <c r="G207" s="66">
        <v>901</v>
      </c>
      <c r="H207" s="67">
        <v>28</v>
      </c>
      <c r="I207" s="67">
        <v>25228</v>
      </c>
      <c r="J207" s="68">
        <v>123456789</v>
      </c>
      <c r="K207" s="69" t="s">
        <v>889</v>
      </c>
    </row>
    <row r="208" spans="2:11" ht="20.100000000000001" customHeight="1" x14ac:dyDescent="0.3">
      <c r="B208" s="62">
        <v>45135</v>
      </c>
      <c r="C208" s="63" t="s">
        <v>1093</v>
      </c>
      <c r="D208" s="64">
        <v>123456994</v>
      </c>
      <c r="E208" s="70" t="s">
        <v>255</v>
      </c>
      <c r="F208" s="111" t="s">
        <v>869</v>
      </c>
      <c r="G208" s="66">
        <v>728</v>
      </c>
      <c r="H208" s="67">
        <v>23</v>
      </c>
      <c r="I208" s="67">
        <v>16744</v>
      </c>
      <c r="J208" s="68">
        <v>123456789</v>
      </c>
      <c r="K208" s="69" t="s">
        <v>887</v>
      </c>
    </row>
    <row r="209" spans="2:11" ht="20.100000000000001" customHeight="1" x14ac:dyDescent="0.3">
      <c r="B209" s="62">
        <v>45136</v>
      </c>
      <c r="C209" s="63" t="s">
        <v>1094</v>
      </c>
      <c r="D209" s="64">
        <v>123456995</v>
      </c>
      <c r="E209" s="65" t="s">
        <v>256</v>
      </c>
      <c r="F209" s="53" t="s">
        <v>869</v>
      </c>
      <c r="G209" s="66">
        <v>679</v>
      </c>
      <c r="H209" s="67">
        <v>26</v>
      </c>
      <c r="I209" s="67">
        <v>17654</v>
      </c>
      <c r="J209" s="68">
        <v>123456789</v>
      </c>
      <c r="K209" s="69" t="s">
        <v>889</v>
      </c>
    </row>
    <row r="210" spans="2:11" ht="20.100000000000001" customHeight="1" x14ac:dyDescent="0.3">
      <c r="B210" s="62">
        <v>45137</v>
      </c>
      <c r="C210" s="63" t="s">
        <v>1095</v>
      </c>
      <c r="D210" s="64">
        <v>123456996</v>
      </c>
      <c r="E210" s="70" t="s">
        <v>257</v>
      </c>
      <c r="F210" s="111" t="s">
        <v>868</v>
      </c>
      <c r="G210" s="66">
        <v>743</v>
      </c>
      <c r="H210" s="67">
        <v>29</v>
      </c>
      <c r="I210" s="67">
        <v>21547</v>
      </c>
      <c r="J210" s="68">
        <v>123456789</v>
      </c>
      <c r="K210" s="69" t="s">
        <v>887</v>
      </c>
    </row>
    <row r="211" spans="2:11" ht="20.100000000000001" customHeight="1" x14ac:dyDescent="0.3">
      <c r="B211" s="62">
        <v>45138</v>
      </c>
      <c r="C211" s="63" t="s">
        <v>1096</v>
      </c>
      <c r="D211" s="64">
        <v>123456997</v>
      </c>
      <c r="E211" s="65" t="s">
        <v>258</v>
      </c>
      <c r="F211" s="53" t="s">
        <v>868</v>
      </c>
      <c r="G211" s="66">
        <v>907</v>
      </c>
      <c r="H211" s="67">
        <v>24</v>
      </c>
      <c r="I211" s="67">
        <v>21768</v>
      </c>
      <c r="J211" s="68">
        <v>123456789</v>
      </c>
      <c r="K211" s="69" t="s">
        <v>887</v>
      </c>
    </row>
    <row r="212" spans="2:11" ht="20.100000000000001" customHeight="1" x14ac:dyDescent="0.3">
      <c r="B212" s="62">
        <v>45139</v>
      </c>
      <c r="C212" s="63" t="s">
        <v>1097</v>
      </c>
      <c r="D212" s="64">
        <v>123456998</v>
      </c>
      <c r="E212" s="70" t="s">
        <v>259</v>
      </c>
      <c r="F212" s="111" t="s">
        <v>868</v>
      </c>
      <c r="G212" s="66">
        <v>714</v>
      </c>
      <c r="H212" s="67">
        <v>27</v>
      </c>
      <c r="I212" s="67">
        <v>19278</v>
      </c>
      <c r="J212" s="68">
        <v>123456789</v>
      </c>
      <c r="K212" s="69" t="s">
        <v>887</v>
      </c>
    </row>
    <row r="213" spans="2:11" ht="20.100000000000001" customHeight="1" x14ac:dyDescent="0.3">
      <c r="B213" s="62">
        <v>45140</v>
      </c>
      <c r="C213" s="63" t="s">
        <v>1098</v>
      </c>
      <c r="D213" s="64">
        <v>123456999</v>
      </c>
      <c r="E213" s="65" t="s">
        <v>260</v>
      </c>
      <c r="F213" s="53" t="s">
        <v>869</v>
      </c>
      <c r="G213" s="66">
        <v>983</v>
      </c>
      <c r="H213" s="67">
        <v>24</v>
      </c>
      <c r="I213" s="67">
        <v>23592</v>
      </c>
      <c r="J213" s="68">
        <v>123456789</v>
      </c>
      <c r="K213" s="69" t="s">
        <v>887</v>
      </c>
    </row>
    <row r="214" spans="2:11" ht="20.100000000000001" customHeight="1" x14ac:dyDescent="0.3">
      <c r="B214" s="62">
        <v>45141</v>
      </c>
      <c r="C214" s="63" t="s">
        <v>1099</v>
      </c>
      <c r="D214" s="64">
        <v>123457000</v>
      </c>
      <c r="E214" s="70" t="s">
        <v>261</v>
      </c>
      <c r="F214" s="111" t="s">
        <v>868</v>
      </c>
      <c r="G214" s="66">
        <v>569</v>
      </c>
      <c r="H214" s="67">
        <v>29</v>
      </c>
      <c r="I214" s="67">
        <v>16501</v>
      </c>
      <c r="J214" s="68">
        <v>123456789</v>
      </c>
      <c r="K214" s="69" t="s">
        <v>889</v>
      </c>
    </row>
    <row r="215" spans="2:11" ht="20.100000000000001" customHeight="1" x14ac:dyDescent="0.3">
      <c r="B215" s="62">
        <v>45142</v>
      </c>
      <c r="C215" s="63" t="s">
        <v>1100</v>
      </c>
      <c r="D215" s="64">
        <v>123457001</v>
      </c>
      <c r="E215" s="65" t="s">
        <v>262</v>
      </c>
      <c r="F215" s="53" t="s">
        <v>868</v>
      </c>
      <c r="G215" s="66">
        <v>860</v>
      </c>
      <c r="H215" s="67">
        <v>31</v>
      </c>
      <c r="I215" s="67">
        <v>26660</v>
      </c>
      <c r="J215" s="68">
        <v>123456789</v>
      </c>
      <c r="K215" s="69" t="s">
        <v>889</v>
      </c>
    </row>
    <row r="216" spans="2:11" ht="20.100000000000001" customHeight="1" x14ac:dyDescent="0.3">
      <c r="B216" s="62">
        <v>45143</v>
      </c>
      <c r="C216" s="63" t="s">
        <v>1101</v>
      </c>
      <c r="D216" s="64">
        <v>123457002</v>
      </c>
      <c r="E216" s="70" t="s">
        <v>263</v>
      </c>
      <c r="F216" s="111" t="s">
        <v>868</v>
      </c>
      <c r="G216" s="66">
        <v>609</v>
      </c>
      <c r="H216" s="67">
        <v>30</v>
      </c>
      <c r="I216" s="67">
        <v>18270</v>
      </c>
      <c r="J216" s="68">
        <v>123456789</v>
      </c>
      <c r="K216" s="69" t="s">
        <v>887</v>
      </c>
    </row>
    <row r="217" spans="2:11" ht="20.100000000000001" customHeight="1" x14ac:dyDescent="0.3">
      <c r="B217" s="62">
        <v>45144</v>
      </c>
      <c r="C217" s="63" t="s">
        <v>1102</v>
      </c>
      <c r="D217" s="64">
        <v>123457003</v>
      </c>
      <c r="E217" s="65" t="s">
        <v>264</v>
      </c>
      <c r="F217" s="53" t="s">
        <v>868</v>
      </c>
      <c r="G217" s="66">
        <v>718</v>
      </c>
      <c r="H217" s="67">
        <v>26</v>
      </c>
      <c r="I217" s="67">
        <v>18668</v>
      </c>
      <c r="J217" s="68">
        <v>123456789</v>
      </c>
      <c r="K217" s="69" t="s">
        <v>887</v>
      </c>
    </row>
    <row r="218" spans="2:11" ht="20.100000000000001" customHeight="1" x14ac:dyDescent="0.3">
      <c r="B218" s="62">
        <v>45145</v>
      </c>
      <c r="C218" s="63" t="s">
        <v>1103</v>
      </c>
      <c r="D218" s="64">
        <v>123457004</v>
      </c>
      <c r="E218" s="70" t="s">
        <v>265</v>
      </c>
      <c r="F218" s="111" t="s">
        <v>869</v>
      </c>
      <c r="G218" s="66">
        <v>694</v>
      </c>
      <c r="H218" s="67">
        <v>27</v>
      </c>
      <c r="I218" s="67">
        <v>18738</v>
      </c>
      <c r="J218" s="68">
        <v>123456789</v>
      </c>
      <c r="K218" s="69" t="s">
        <v>887</v>
      </c>
    </row>
    <row r="219" spans="2:11" ht="20.100000000000001" customHeight="1" x14ac:dyDescent="0.3">
      <c r="B219" s="62">
        <v>45146</v>
      </c>
      <c r="C219" s="63" t="s">
        <v>1104</v>
      </c>
      <c r="D219" s="64">
        <v>123457005</v>
      </c>
      <c r="E219" s="65" t="s">
        <v>266</v>
      </c>
      <c r="F219" s="53" t="s">
        <v>868</v>
      </c>
      <c r="G219" s="66">
        <v>555</v>
      </c>
      <c r="H219" s="67">
        <v>21</v>
      </c>
      <c r="I219" s="67">
        <v>11655</v>
      </c>
      <c r="J219" s="68">
        <v>123456789</v>
      </c>
      <c r="K219" s="69" t="s">
        <v>887</v>
      </c>
    </row>
    <row r="220" spans="2:11" ht="20.100000000000001" customHeight="1" x14ac:dyDescent="0.3">
      <c r="B220" s="62">
        <v>45147</v>
      </c>
      <c r="C220" s="63" t="s">
        <v>1105</v>
      </c>
      <c r="D220" s="64">
        <v>123457006</v>
      </c>
      <c r="E220" s="70" t="s">
        <v>267</v>
      </c>
      <c r="F220" s="111" t="s">
        <v>868</v>
      </c>
      <c r="G220" s="66">
        <v>531</v>
      </c>
      <c r="H220" s="67">
        <v>28</v>
      </c>
      <c r="I220" s="67">
        <v>14868</v>
      </c>
      <c r="J220" s="68">
        <v>123456789</v>
      </c>
      <c r="K220" s="69" t="s">
        <v>887</v>
      </c>
    </row>
    <row r="221" spans="2:11" ht="20.100000000000001" customHeight="1" x14ac:dyDescent="0.3">
      <c r="B221" s="62">
        <v>45148</v>
      </c>
      <c r="C221" s="63" t="s">
        <v>1106</v>
      </c>
      <c r="D221" s="64">
        <v>123457007</v>
      </c>
      <c r="E221" s="65" t="s">
        <v>268</v>
      </c>
      <c r="F221" s="53" t="s">
        <v>868</v>
      </c>
      <c r="G221" s="66">
        <v>534</v>
      </c>
      <c r="H221" s="67">
        <v>22</v>
      </c>
      <c r="I221" s="67">
        <v>11748</v>
      </c>
      <c r="J221" s="68">
        <v>123456789</v>
      </c>
      <c r="K221" s="69" t="s">
        <v>889</v>
      </c>
    </row>
    <row r="222" spans="2:11" ht="20.100000000000001" customHeight="1" x14ac:dyDescent="0.3">
      <c r="B222" s="62">
        <v>45149</v>
      </c>
      <c r="C222" s="63" t="s">
        <v>1107</v>
      </c>
      <c r="D222" s="64">
        <v>123457008</v>
      </c>
      <c r="E222" s="70" t="s">
        <v>269</v>
      </c>
      <c r="F222" s="111" t="s">
        <v>868</v>
      </c>
      <c r="G222" s="66">
        <v>576</v>
      </c>
      <c r="H222" s="67">
        <v>22</v>
      </c>
      <c r="I222" s="67">
        <v>12672</v>
      </c>
      <c r="J222" s="68">
        <v>123456789</v>
      </c>
      <c r="K222" s="69" t="s">
        <v>887</v>
      </c>
    </row>
    <row r="223" spans="2:11" ht="20.100000000000001" customHeight="1" x14ac:dyDescent="0.3">
      <c r="B223" s="62">
        <v>45150</v>
      </c>
      <c r="C223" s="63" t="s">
        <v>1108</v>
      </c>
      <c r="D223" s="64">
        <v>123457009</v>
      </c>
      <c r="E223" s="65" t="s">
        <v>270</v>
      </c>
      <c r="F223" s="53" t="s">
        <v>868</v>
      </c>
      <c r="G223" s="66">
        <v>690</v>
      </c>
      <c r="H223" s="67">
        <v>25</v>
      </c>
      <c r="I223" s="67">
        <v>17250</v>
      </c>
      <c r="J223" s="68">
        <v>123456789</v>
      </c>
      <c r="K223" s="69" t="s">
        <v>887</v>
      </c>
    </row>
    <row r="224" spans="2:11" ht="20.100000000000001" customHeight="1" x14ac:dyDescent="0.3">
      <c r="B224" s="62">
        <v>45151</v>
      </c>
      <c r="C224" s="63" t="s">
        <v>1109</v>
      </c>
      <c r="D224" s="64">
        <v>123457010</v>
      </c>
      <c r="E224" s="70" t="s">
        <v>271</v>
      </c>
      <c r="F224" s="111" t="s">
        <v>868</v>
      </c>
      <c r="G224" s="66">
        <v>511</v>
      </c>
      <c r="H224" s="67">
        <v>23</v>
      </c>
      <c r="I224" s="67">
        <v>11753</v>
      </c>
      <c r="J224" s="68">
        <v>123456789</v>
      </c>
      <c r="K224" s="69" t="s">
        <v>887</v>
      </c>
    </row>
    <row r="225" spans="2:11" ht="20.100000000000001" customHeight="1" x14ac:dyDescent="0.3">
      <c r="B225" s="62">
        <v>45152</v>
      </c>
      <c r="C225" s="63" t="s">
        <v>1110</v>
      </c>
      <c r="D225" s="64">
        <v>123457011</v>
      </c>
      <c r="E225" s="65" t="s">
        <v>272</v>
      </c>
      <c r="F225" s="53" t="s">
        <v>869</v>
      </c>
      <c r="G225" s="66">
        <v>616</v>
      </c>
      <c r="H225" s="67">
        <v>29</v>
      </c>
      <c r="I225" s="67">
        <v>17864</v>
      </c>
      <c r="J225" s="68">
        <v>123456789</v>
      </c>
      <c r="K225" s="69" t="s">
        <v>889</v>
      </c>
    </row>
    <row r="226" spans="2:11" ht="20.100000000000001" customHeight="1" x14ac:dyDescent="0.3">
      <c r="B226" s="62">
        <v>45153</v>
      </c>
      <c r="C226" s="63" t="s">
        <v>1111</v>
      </c>
      <c r="D226" s="64">
        <v>123457012</v>
      </c>
      <c r="E226" s="70" t="s">
        <v>273</v>
      </c>
      <c r="F226" s="111" t="s">
        <v>868</v>
      </c>
      <c r="G226" s="66">
        <v>507</v>
      </c>
      <c r="H226" s="67">
        <v>26</v>
      </c>
      <c r="I226" s="67">
        <v>13182</v>
      </c>
      <c r="J226" s="68">
        <v>123456789</v>
      </c>
      <c r="K226" s="69" t="s">
        <v>889</v>
      </c>
    </row>
    <row r="227" spans="2:11" ht="20.100000000000001" customHeight="1" x14ac:dyDescent="0.3">
      <c r="B227" s="62">
        <v>45154</v>
      </c>
      <c r="C227" s="63" t="s">
        <v>1112</v>
      </c>
      <c r="D227" s="64">
        <v>123457013</v>
      </c>
      <c r="E227" s="65" t="s">
        <v>274</v>
      </c>
      <c r="F227" s="53" t="s">
        <v>868</v>
      </c>
      <c r="G227" s="66">
        <v>991</v>
      </c>
      <c r="H227" s="67">
        <v>23</v>
      </c>
      <c r="I227" s="67">
        <v>22793</v>
      </c>
      <c r="J227" s="68">
        <v>123456789</v>
      </c>
      <c r="K227" s="69" t="s">
        <v>887</v>
      </c>
    </row>
    <row r="228" spans="2:11" ht="20.100000000000001" customHeight="1" x14ac:dyDescent="0.3">
      <c r="B228" s="62">
        <v>45155</v>
      </c>
      <c r="C228" s="63" t="s">
        <v>1113</v>
      </c>
      <c r="D228" s="64">
        <v>123457014</v>
      </c>
      <c r="E228" s="70" t="s">
        <v>275</v>
      </c>
      <c r="F228" s="111" t="s">
        <v>868</v>
      </c>
      <c r="G228" s="66">
        <v>646</v>
      </c>
      <c r="H228" s="67">
        <v>30</v>
      </c>
      <c r="I228" s="67">
        <v>19380</v>
      </c>
      <c r="J228" s="68">
        <v>123456789</v>
      </c>
      <c r="K228" s="69" t="s">
        <v>887</v>
      </c>
    </row>
    <row r="229" spans="2:11" ht="20.100000000000001" customHeight="1" x14ac:dyDescent="0.3">
      <c r="B229" s="62">
        <v>45156</v>
      </c>
      <c r="C229" s="63" t="s">
        <v>1114</v>
      </c>
      <c r="D229" s="64">
        <v>123457015</v>
      </c>
      <c r="E229" s="65" t="s">
        <v>276</v>
      </c>
      <c r="F229" s="53" t="s">
        <v>868</v>
      </c>
      <c r="G229" s="66">
        <v>889</v>
      </c>
      <c r="H229" s="67">
        <v>21</v>
      </c>
      <c r="I229" s="67">
        <v>18669</v>
      </c>
      <c r="J229" s="68">
        <v>123456789</v>
      </c>
      <c r="K229" s="69" t="s">
        <v>887</v>
      </c>
    </row>
    <row r="230" spans="2:11" ht="20.100000000000001" customHeight="1" x14ac:dyDescent="0.3">
      <c r="B230" s="62">
        <v>45157</v>
      </c>
      <c r="C230" s="63" t="s">
        <v>1115</v>
      </c>
      <c r="D230" s="64">
        <v>123457016</v>
      </c>
      <c r="E230" s="70" t="s">
        <v>277</v>
      </c>
      <c r="F230" s="111" t="s">
        <v>868</v>
      </c>
      <c r="G230" s="66">
        <v>572</v>
      </c>
      <c r="H230" s="67">
        <v>23</v>
      </c>
      <c r="I230" s="67">
        <v>13156</v>
      </c>
      <c r="J230" s="68">
        <v>123456789</v>
      </c>
      <c r="K230" s="69" t="s">
        <v>887</v>
      </c>
    </row>
    <row r="231" spans="2:11" ht="20.100000000000001" customHeight="1" x14ac:dyDescent="0.3">
      <c r="B231" s="62">
        <v>45158</v>
      </c>
      <c r="C231" s="63" t="s">
        <v>1116</v>
      </c>
      <c r="D231" s="64">
        <v>123457017</v>
      </c>
      <c r="E231" s="65" t="s">
        <v>278</v>
      </c>
      <c r="F231" s="53" t="s">
        <v>868</v>
      </c>
      <c r="G231" s="66">
        <v>862</v>
      </c>
      <c r="H231" s="67">
        <v>21</v>
      </c>
      <c r="I231" s="67">
        <v>18102</v>
      </c>
      <c r="J231" s="68">
        <v>123456789</v>
      </c>
      <c r="K231" s="69" t="s">
        <v>887</v>
      </c>
    </row>
    <row r="232" spans="2:11" ht="20.100000000000001" customHeight="1" x14ac:dyDescent="0.3">
      <c r="B232" s="62">
        <v>45159</v>
      </c>
      <c r="C232" s="63" t="s">
        <v>1117</v>
      </c>
      <c r="D232" s="64">
        <v>123457018</v>
      </c>
      <c r="E232" s="70" t="s">
        <v>279</v>
      </c>
      <c r="F232" s="111" t="s">
        <v>868</v>
      </c>
      <c r="G232" s="66">
        <v>507</v>
      </c>
      <c r="H232" s="67">
        <v>31</v>
      </c>
      <c r="I232" s="67">
        <v>15717</v>
      </c>
      <c r="J232" s="68">
        <v>123456789</v>
      </c>
      <c r="K232" s="69" t="s">
        <v>889</v>
      </c>
    </row>
    <row r="233" spans="2:11" ht="20.100000000000001" customHeight="1" x14ac:dyDescent="0.3">
      <c r="B233" s="62">
        <v>45160</v>
      </c>
      <c r="C233" s="63" t="s">
        <v>1118</v>
      </c>
      <c r="D233" s="64">
        <v>123457019</v>
      </c>
      <c r="E233" s="65" t="s">
        <v>280</v>
      </c>
      <c r="F233" s="53" t="s">
        <v>868</v>
      </c>
      <c r="G233" s="66">
        <v>853</v>
      </c>
      <c r="H233" s="67">
        <v>26</v>
      </c>
      <c r="I233" s="67">
        <v>22178</v>
      </c>
      <c r="J233" s="68">
        <v>123456789</v>
      </c>
      <c r="K233" s="69" t="s">
        <v>887</v>
      </c>
    </row>
    <row r="234" spans="2:11" ht="20.100000000000001" customHeight="1" x14ac:dyDescent="0.3">
      <c r="B234" s="62">
        <v>45161</v>
      </c>
      <c r="C234" s="63" t="s">
        <v>1119</v>
      </c>
      <c r="D234" s="64">
        <v>123457020</v>
      </c>
      <c r="E234" s="70" t="s">
        <v>281</v>
      </c>
      <c r="F234" s="111" t="s">
        <v>868</v>
      </c>
      <c r="G234" s="66">
        <v>743</v>
      </c>
      <c r="H234" s="67">
        <v>25</v>
      </c>
      <c r="I234" s="67">
        <v>18575</v>
      </c>
      <c r="J234" s="68">
        <v>123456789</v>
      </c>
      <c r="K234" s="69" t="s">
        <v>887</v>
      </c>
    </row>
    <row r="235" spans="2:11" ht="20.100000000000001" customHeight="1" x14ac:dyDescent="0.3">
      <c r="B235" s="62">
        <v>45162</v>
      </c>
      <c r="C235" s="63" t="s">
        <v>1120</v>
      </c>
      <c r="D235" s="64">
        <v>123457021</v>
      </c>
      <c r="E235" s="65" t="s">
        <v>282</v>
      </c>
      <c r="F235" s="53" t="s">
        <v>868</v>
      </c>
      <c r="G235" s="66">
        <v>701</v>
      </c>
      <c r="H235" s="67">
        <v>22</v>
      </c>
      <c r="I235" s="67">
        <v>15422</v>
      </c>
      <c r="J235" s="68">
        <v>123456789</v>
      </c>
      <c r="K235" s="69" t="s">
        <v>887</v>
      </c>
    </row>
    <row r="236" spans="2:11" ht="20.100000000000001" customHeight="1" x14ac:dyDescent="0.3">
      <c r="B236" s="62">
        <v>45163</v>
      </c>
      <c r="C236" s="63" t="s">
        <v>1121</v>
      </c>
      <c r="D236" s="64">
        <v>123457022</v>
      </c>
      <c r="E236" s="70" t="s">
        <v>283</v>
      </c>
      <c r="F236" s="111" t="s">
        <v>868</v>
      </c>
      <c r="G236" s="66">
        <v>970</v>
      </c>
      <c r="H236" s="67">
        <v>26</v>
      </c>
      <c r="I236" s="67">
        <v>25220</v>
      </c>
      <c r="J236" s="68">
        <v>123456789</v>
      </c>
      <c r="K236" s="69" t="s">
        <v>887</v>
      </c>
    </row>
    <row r="237" spans="2:11" ht="20.100000000000001" customHeight="1" x14ac:dyDescent="0.3">
      <c r="B237" s="62">
        <v>45164</v>
      </c>
      <c r="C237" s="63" t="s">
        <v>1122</v>
      </c>
      <c r="D237" s="64">
        <v>123457023</v>
      </c>
      <c r="E237" s="65" t="s">
        <v>284</v>
      </c>
      <c r="F237" s="53" t="s">
        <v>868</v>
      </c>
      <c r="G237" s="66">
        <v>575</v>
      </c>
      <c r="H237" s="67">
        <v>28</v>
      </c>
      <c r="I237" s="67">
        <v>16100</v>
      </c>
      <c r="J237" s="68">
        <v>123456789</v>
      </c>
      <c r="K237" s="69" t="s">
        <v>887</v>
      </c>
    </row>
    <row r="238" spans="2:11" ht="20.100000000000001" customHeight="1" x14ac:dyDescent="0.3">
      <c r="B238" s="62">
        <v>45165</v>
      </c>
      <c r="C238" s="63" t="s">
        <v>1123</v>
      </c>
      <c r="D238" s="64">
        <v>123457024</v>
      </c>
      <c r="E238" s="70" t="s">
        <v>285</v>
      </c>
      <c r="F238" s="111" t="s">
        <v>868</v>
      </c>
      <c r="G238" s="66">
        <v>835</v>
      </c>
      <c r="H238" s="67">
        <v>23</v>
      </c>
      <c r="I238" s="67">
        <v>19205</v>
      </c>
      <c r="J238" s="68">
        <v>123456789</v>
      </c>
      <c r="K238" s="69" t="s">
        <v>887</v>
      </c>
    </row>
    <row r="239" spans="2:11" ht="20.100000000000001" customHeight="1" x14ac:dyDescent="0.3">
      <c r="B239" s="62">
        <v>45166</v>
      </c>
      <c r="C239" s="63" t="s">
        <v>1124</v>
      </c>
      <c r="D239" s="64">
        <v>123457025</v>
      </c>
      <c r="E239" s="65" t="s">
        <v>286</v>
      </c>
      <c r="F239" s="53" t="s">
        <v>868</v>
      </c>
      <c r="G239" s="66">
        <v>712</v>
      </c>
      <c r="H239" s="67">
        <v>31</v>
      </c>
      <c r="I239" s="67">
        <v>22072</v>
      </c>
      <c r="J239" s="68">
        <v>123456789</v>
      </c>
      <c r="K239" s="69" t="s">
        <v>887</v>
      </c>
    </row>
    <row r="240" spans="2:11" ht="20.100000000000001" customHeight="1" x14ac:dyDescent="0.3">
      <c r="B240" s="62">
        <v>45167</v>
      </c>
      <c r="C240" s="63" t="s">
        <v>1125</v>
      </c>
      <c r="D240" s="64">
        <v>123457026</v>
      </c>
      <c r="E240" s="70" t="s">
        <v>287</v>
      </c>
      <c r="F240" s="111" t="s">
        <v>868</v>
      </c>
      <c r="G240" s="66">
        <v>784</v>
      </c>
      <c r="H240" s="67">
        <v>31</v>
      </c>
      <c r="I240" s="67">
        <v>24304</v>
      </c>
      <c r="J240" s="68">
        <v>123456789</v>
      </c>
      <c r="K240" s="69" t="s">
        <v>887</v>
      </c>
    </row>
    <row r="241" spans="2:11" ht="20.100000000000001" customHeight="1" x14ac:dyDescent="0.3">
      <c r="B241" s="62">
        <v>45168</v>
      </c>
      <c r="C241" s="63" t="s">
        <v>1126</v>
      </c>
      <c r="D241" s="64">
        <v>123457027</v>
      </c>
      <c r="E241" s="65" t="s">
        <v>288</v>
      </c>
      <c r="F241" s="53" t="s">
        <v>869</v>
      </c>
      <c r="G241" s="66">
        <v>940</v>
      </c>
      <c r="H241" s="67">
        <v>26</v>
      </c>
      <c r="I241" s="67">
        <v>24440</v>
      </c>
      <c r="J241" s="68">
        <v>123456789</v>
      </c>
      <c r="K241" s="69" t="s">
        <v>889</v>
      </c>
    </row>
    <row r="242" spans="2:11" ht="20.100000000000001" customHeight="1" x14ac:dyDescent="0.3">
      <c r="B242" s="62">
        <v>45169</v>
      </c>
      <c r="C242" s="63" t="s">
        <v>1127</v>
      </c>
      <c r="D242" s="64">
        <v>123457028</v>
      </c>
      <c r="E242" s="70" t="s">
        <v>289</v>
      </c>
      <c r="F242" s="111" t="s">
        <v>868</v>
      </c>
      <c r="G242" s="66">
        <v>829</v>
      </c>
      <c r="H242" s="67">
        <v>26</v>
      </c>
      <c r="I242" s="67">
        <v>21554</v>
      </c>
      <c r="J242" s="68">
        <v>123456789</v>
      </c>
      <c r="K242" s="69" t="s">
        <v>887</v>
      </c>
    </row>
    <row r="243" spans="2:11" ht="20.100000000000001" customHeight="1" x14ac:dyDescent="0.3">
      <c r="B243" s="62">
        <v>45170</v>
      </c>
      <c r="C243" s="63" t="s">
        <v>1128</v>
      </c>
      <c r="D243" s="64">
        <v>123457029</v>
      </c>
      <c r="E243" s="65" t="s">
        <v>290</v>
      </c>
      <c r="F243" s="53" t="s">
        <v>868</v>
      </c>
      <c r="G243" s="66">
        <v>438</v>
      </c>
      <c r="H243" s="67">
        <v>21</v>
      </c>
      <c r="I243" s="67">
        <v>9198</v>
      </c>
      <c r="J243" s="68">
        <v>123456789</v>
      </c>
      <c r="K243" s="69" t="s">
        <v>889</v>
      </c>
    </row>
    <row r="244" spans="2:11" ht="20.100000000000001" customHeight="1" x14ac:dyDescent="0.3">
      <c r="B244" s="62">
        <v>45171</v>
      </c>
      <c r="C244" s="63" t="s">
        <v>1129</v>
      </c>
      <c r="D244" s="64">
        <v>123457030</v>
      </c>
      <c r="E244" s="70" t="s">
        <v>291</v>
      </c>
      <c r="F244" s="111" t="s">
        <v>868</v>
      </c>
      <c r="G244" s="66">
        <v>468</v>
      </c>
      <c r="H244" s="67">
        <v>25</v>
      </c>
      <c r="I244" s="67">
        <v>11700</v>
      </c>
      <c r="J244" s="68">
        <v>123456789</v>
      </c>
      <c r="K244" s="69" t="s">
        <v>887</v>
      </c>
    </row>
    <row r="245" spans="2:11" ht="20.100000000000001" customHeight="1" x14ac:dyDescent="0.3">
      <c r="B245" s="62">
        <v>45172</v>
      </c>
      <c r="C245" s="63" t="s">
        <v>1130</v>
      </c>
      <c r="D245" s="64">
        <v>123457031</v>
      </c>
      <c r="E245" s="65" t="s">
        <v>292</v>
      </c>
      <c r="F245" s="53" t="s">
        <v>869</v>
      </c>
      <c r="G245" s="66">
        <v>323</v>
      </c>
      <c r="H245" s="67">
        <v>28</v>
      </c>
      <c r="I245" s="67">
        <v>9044</v>
      </c>
      <c r="J245" s="68">
        <v>123456789</v>
      </c>
      <c r="K245" s="69" t="s">
        <v>887</v>
      </c>
    </row>
    <row r="246" spans="2:11" ht="20.100000000000001" customHeight="1" x14ac:dyDescent="0.3">
      <c r="B246" s="62">
        <v>45173</v>
      </c>
      <c r="C246" s="63" t="s">
        <v>1131</v>
      </c>
      <c r="D246" s="64">
        <v>123457032</v>
      </c>
      <c r="E246" s="70" t="s">
        <v>293</v>
      </c>
      <c r="F246" s="111" t="s">
        <v>869</v>
      </c>
      <c r="G246" s="66">
        <v>439</v>
      </c>
      <c r="H246" s="67">
        <v>27</v>
      </c>
      <c r="I246" s="67">
        <v>11853</v>
      </c>
      <c r="J246" s="68">
        <v>123456789</v>
      </c>
      <c r="K246" s="69" t="s">
        <v>887</v>
      </c>
    </row>
    <row r="247" spans="2:11" ht="20.100000000000001" customHeight="1" x14ac:dyDescent="0.3">
      <c r="B247" s="62">
        <v>45174</v>
      </c>
      <c r="C247" s="63" t="s">
        <v>1132</v>
      </c>
      <c r="D247" s="64">
        <v>123457033</v>
      </c>
      <c r="E247" s="65" t="s">
        <v>294</v>
      </c>
      <c r="F247" s="53" t="s">
        <v>868</v>
      </c>
      <c r="G247" s="66">
        <v>349</v>
      </c>
      <c r="H247" s="67">
        <v>27</v>
      </c>
      <c r="I247" s="67">
        <v>9423</v>
      </c>
      <c r="J247" s="68">
        <v>123456789</v>
      </c>
      <c r="K247" s="69" t="s">
        <v>887</v>
      </c>
    </row>
    <row r="248" spans="2:11" ht="20.100000000000001" customHeight="1" x14ac:dyDescent="0.3">
      <c r="B248" s="62">
        <v>45175</v>
      </c>
      <c r="C248" s="63" t="s">
        <v>1133</v>
      </c>
      <c r="D248" s="64">
        <v>123457034</v>
      </c>
      <c r="E248" s="70" t="s">
        <v>295</v>
      </c>
      <c r="F248" s="111" t="s">
        <v>868</v>
      </c>
      <c r="G248" s="66">
        <v>268</v>
      </c>
      <c r="H248" s="67">
        <v>21</v>
      </c>
      <c r="I248" s="67">
        <v>5628</v>
      </c>
      <c r="J248" s="68">
        <v>123456789</v>
      </c>
      <c r="K248" s="69" t="s">
        <v>887</v>
      </c>
    </row>
    <row r="249" spans="2:11" ht="20.100000000000001" customHeight="1" x14ac:dyDescent="0.3">
      <c r="B249" s="62">
        <v>45176</v>
      </c>
      <c r="C249" s="63" t="s">
        <v>1134</v>
      </c>
      <c r="D249" s="64">
        <v>123457035</v>
      </c>
      <c r="E249" s="65" t="s">
        <v>296</v>
      </c>
      <c r="F249" s="53" t="s">
        <v>869</v>
      </c>
      <c r="G249" s="66">
        <v>437</v>
      </c>
      <c r="H249" s="67">
        <v>29</v>
      </c>
      <c r="I249" s="67">
        <v>12673</v>
      </c>
      <c r="J249" s="68">
        <v>123456789</v>
      </c>
      <c r="K249" s="69" t="s">
        <v>889</v>
      </c>
    </row>
    <row r="250" spans="2:11" ht="20.100000000000001" customHeight="1" x14ac:dyDescent="0.3">
      <c r="B250" s="62">
        <v>45177</v>
      </c>
      <c r="C250" s="63" t="s">
        <v>1135</v>
      </c>
      <c r="D250" s="64">
        <v>123457036</v>
      </c>
      <c r="E250" s="70" t="s">
        <v>297</v>
      </c>
      <c r="F250" s="111" t="s">
        <v>868</v>
      </c>
      <c r="G250" s="66">
        <v>403</v>
      </c>
      <c r="H250" s="67">
        <v>29</v>
      </c>
      <c r="I250" s="67">
        <v>11687</v>
      </c>
      <c r="J250" s="68">
        <v>123456789</v>
      </c>
      <c r="K250" s="69" t="s">
        <v>887</v>
      </c>
    </row>
    <row r="251" spans="2:11" ht="20.100000000000001" customHeight="1" x14ac:dyDescent="0.3">
      <c r="B251" s="62">
        <v>45178</v>
      </c>
      <c r="C251" s="63" t="s">
        <v>1136</v>
      </c>
      <c r="D251" s="64">
        <v>123457037</v>
      </c>
      <c r="E251" s="65" t="s">
        <v>298</v>
      </c>
      <c r="F251" s="53" t="s">
        <v>868</v>
      </c>
      <c r="G251" s="66">
        <v>283</v>
      </c>
      <c r="H251" s="67">
        <v>24</v>
      </c>
      <c r="I251" s="67">
        <v>6792</v>
      </c>
      <c r="J251" s="68">
        <v>123456789</v>
      </c>
      <c r="K251" s="69" t="s">
        <v>889</v>
      </c>
    </row>
    <row r="252" spans="2:11" ht="20.100000000000001" customHeight="1" x14ac:dyDescent="0.3">
      <c r="B252" s="62">
        <v>45179</v>
      </c>
      <c r="C252" s="63" t="s">
        <v>1137</v>
      </c>
      <c r="D252" s="64">
        <v>123457038</v>
      </c>
      <c r="E252" s="70" t="s">
        <v>299</v>
      </c>
      <c r="F252" s="111" t="s">
        <v>868</v>
      </c>
      <c r="G252" s="66">
        <v>396</v>
      </c>
      <c r="H252" s="67">
        <v>28</v>
      </c>
      <c r="I252" s="67">
        <v>11088</v>
      </c>
      <c r="J252" s="68">
        <v>123456789</v>
      </c>
      <c r="K252" s="69" t="s">
        <v>887</v>
      </c>
    </row>
    <row r="253" spans="2:11" ht="20.100000000000001" customHeight="1" x14ac:dyDescent="0.3">
      <c r="B253" s="62">
        <v>45180</v>
      </c>
      <c r="C253" s="63" t="s">
        <v>1138</v>
      </c>
      <c r="D253" s="64">
        <v>123457039</v>
      </c>
      <c r="E253" s="65" t="s">
        <v>300</v>
      </c>
      <c r="F253" s="53" t="s">
        <v>868</v>
      </c>
      <c r="G253" s="66">
        <v>333</v>
      </c>
      <c r="H253" s="67">
        <v>27</v>
      </c>
      <c r="I253" s="67">
        <v>8991</v>
      </c>
      <c r="J253" s="68">
        <v>123456789</v>
      </c>
      <c r="K253" s="69" t="s">
        <v>887</v>
      </c>
    </row>
    <row r="254" spans="2:11" ht="20.100000000000001" customHeight="1" x14ac:dyDescent="0.3">
      <c r="B254" s="62">
        <v>45181</v>
      </c>
      <c r="C254" s="63" t="s">
        <v>1139</v>
      </c>
      <c r="D254" s="64">
        <v>123457040</v>
      </c>
      <c r="E254" s="70" t="s">
        <v>301</v>
      </c>
      <c r="F254" s="111" t="s">
        <v>868</v>
      </c>
      <c r="G254" s="66">
        <v>349</v>
      </c>
      <c r="H254" s="67">
        <v>29</v>
      </c>
      <c r="I254" s="67">
        <v>10121</v>
      </c>
      <c r="J254" s="68">
        <v>123456789</v>
      </c>
      <c r="K254" s="69" t="s">
        <v>887</v>
      </c>
    </row>
    <row r="255" spans="2:11" ht="20.100000000000001" customHeight="1" x14ac:dyDescent="0.3">
      <c r="B255" s="62">
        <v>45182</v>
      </c>
      <c r="C255" s="63" t="s">
        <v>1140</v>
      </c>
      <c r="D255" s="64">
        <v>123457041</v>
      </c>
      <c r="E255" s="65" t="s">
        <v>302</v>
      </c>
      <c r="F255" s="53" t="s">
        <v>868</v>
      </c>
      <c r="G255" s="66">
        <v>291</v>
      </c>
      <c r="H255" s="67">
        <v>30</v>
      </c>
      <c r="I255" s="67">
        <v>8730</v>
      </c>
      <c r="J255" s="68">
        <v>123456789</v>
      </c>
      <c r="K255" s="69" t="s">
        <v>887</v>
      </c>
    </row>
    <row r="256" spans="2:11" ht="20.100000000000001" customHeight="1" x14ac:dyDescent="0.3">
      <c r="B256" s="62">
        <v>45183</v>
      </c>
      <c r="C256" s="63" t="s">
        <v>1141</v>
      </c>
      <c r="D256" s="64">
        <v>123457042</v>
      </c>
      <c r="E256" s="70" t="s">
        <v>303</v>
      </c>
      <c r="F256" s="111" t="s">
        <v>869</v>
      </c>
      <c r="G256" s="66">
        <v>446</v>
      </c>
      <c r="H256" s="67">
        <v>29</v>
      </c>
      <c r="I256" s="67">
        <v>12934</v>
      </c>
      <c r="J256" s="68">
        <v>123456789</v>
      </c>
      <c r="K256" s="69" t="s">
        <v>887</v>
      </c>
    </row>
    <row r="257" spans="2:11" ht="20.100000000000001" customHeight="1" x14ac:dyDescent="0.3">
      <c r="B257" s="62">
        <v>45184</v>
      </c>
      <c r="C257" s="63" t="s">
        <v>1142</v>
      </c>
      <c r="D257" s="64">
        <v>123457043</v>
      </c>
      <c r="E257" s="65" t="s">
        <v>304</v>
      </c>
      <c r="F257" s="53" t="s">
        <v>868</v>
      </c>
      <c r="G257" s="66">
        <v>344</v>
      </c>
      <c r="H257" s="67">
        <v>28</v>
      </c>
      <c r="I257" s="67">
        <v>9632</v>
      </c>
      <c r="J257" s="68">
        <v>123456789</v>
      </c>
      <c r="K257" s="69" t="s">
        <v>889</v>
      </c>
    </row>
    <row r="258" spans="2:11" ht="20.100000000000001" customHeight="1" x14ac:dyDescent="0.3">
      <c r="B258" s="62">
        <v>45185</v>
      </c>
      <c r="C258" s="63" t="s">
        <v>1143</v>
      </c>
      <c r="D258" s="64">
        <v>123457044</v>
      </c>
      <c r="E258" s="70" t="s">
        <v>305</v>
      </c>
      <c r="F258" s="111" t="s">
        <v>868</v>
      </c>
      <c r="G258" s="66">
        <v>335</v>
      </c>
      <c r="H258" s="67">
        <v>31</v>
      </c>
      <c r="I258" s="67">
        <v>10385</v>
      </c>
      <c r="J258" s="68">
        <v>123456789</v>
      </c>
      <c r="K258" s="69" t="s">
        <v>887</v>
      </c>
    </row>
    <row r="259" spans="2:11" ht="20.100000000000001" customHeight="1" x14ac:dyDescent="0.3">
      <c r="B259" s="62">
        <v>45186</v>
      </c>
      <c r="C259" s="63" t="s">
        <v>1144</v>
      </c>
      <c r="D259" s="64">
        <v>123457045</v>
      </c>
      <c r="E259" s="65" t="s">
        <v>306</v>
      </c>
      <c r="F259" s="53" t="s">
        <v>869</v>
      </c>
      <c r="G259" s="66">
        <v>436</v>
      </c>
      <c r="H259" s="67">
        <v>22</v>
      </c>
      <c r="I259" s="67">
        <v>9592</v>
      </c>
      <c r="J259" s="68">
        <v>123456789</v>
      </c>
      <c r="K259" s="69" t="s">
        <v>887</v>
      </c>
    </row>
    <row r="260" spans="2:11" ht="20.100000000000001" customHeight="1" x14ac:dyDescent="0.3">
      <c r="B260" s="62">
        <v>45187</v>
      </c>
      <c r="C260" s="63" t="s">
        <v>1145</v>
      </c>
      <c r="D260" s="64">
        <v>123457046</v>
      </c>
      <c r="E260" s="70" t="s">
        <v>307</v>
      </c>
      <c r="F260" s="111" t="s">
        <v>869</v>
      </c>
      <c r="G260" s="66">
        <v>321</v>
      </c>
      <c r="H260" s="67">
        <v>31</v>
      </c>
      <c r="I260" s="67">
        <v>9951</v>
      </c>
      <c r="J260" s="68">
        <v>123456789</v>
      </c>
      <c r="K260" s="69" t="s">
        <v>889</v>
      </c>
    </row>
    <row r="261" spans="2:11" ht="20.100000000000001" customHeight="1" x14ac:dyDescent="0.3">
      <c r="B261" s="62">
        <v>45188</v>
      </c>
      <c r="C261" s="63" t="s">
        <v>1146</v>
      </c>
      <c r="D261" s="64">
        <v>123457047</v>
      </c>
      <c r="E261" s="65" t="s">
        <v>308</v>
      </c>
      <c r="F261" s="53" t="s">
        <v>868</v>
      </c>
      <c r="G261" s="66">
        <v>507</v>
      </c>
      <c r="H261" s="67">
        <v>21</v>
      </c>
      <c r="I261" s="67">
        <v>10647</v>
      </c>
      <c r="J261" s="68">
        <v>123456789</v>
      </c>
      <c r="K261" s="69" t="s">
        <v>889</v>
      </c>
    </row>
    <row r="262" spans="2:11" ht="20.100000000000001" customHeight="1" x14ac:dyDescent="0.3">
      <c r="B262" s="62">
        <v>45189</v>
      </c>
      <c r="C262" s="63" t="s">
        <v>1147</v>
      </c>
      <c r="D262" s="64">
        <v>123457048</v>
      </c>
      <c r="E262" s="70" t="s">
        <v>309</v>
      </c>
      <c r="F262" s="111" t="s">
        <v>869</v>
      </c>
      <c r="G262" s="66">
        <v>364</v>
      </c>
      <c r="H262" s="67">
        <v>30</v>
      </c>
      <c r="I262" s="67">
        <v>10920</v>
      </c>
      <c r="J262" s="68">
        <v>123456789</v>
      </c>
      <c r="K262" s="69" t="s">
        <v>887</v>
      </c>
    </row>
    <row r="263" spans="2:11" ht="20.100000000000001" customHeight="1" x14ac:dyDescent="0.3">
      <c r="B263" s="62">
        <v>45190</v>
      </c>
      <c r="C263" s="63" t="s">
        <v>1148</v>
      </c>
      <c r="D263" s="64">
        <v>123457049</v>
      </c>
      <c r="E263" s="65" t="s">
        <v>310</v>
      </c>
      <c r="F263" s="53" t="s">
        <v>868</v>
      </c>
      <c r="G263" s="66">
        <v>418</v>
      </c>
      <c r="H263" s="67">
        <v>29</v>
      </c>
      <c r="I263" s="67">
        <v>12122</v>
      </c>
      <c r="J263" s="68">
        <v>123456789</v>
      </c>
      <c r="K263" s="69" t="s">
        <v>887</v>
      </c>
    </row>
    <row r="264" spans="2:11" ht="20.100000000000001" customHeight="1" x14ac:dyDescent="0.3">
      <c r="B264" s="62">
        <v>45191</v>
      </c>
      <c r="C264" s="63" t="s">
        <v>1149</v>
      </c>
      <c r="D264" s="64">
        <v>123457050</v>
      </c>
      <c r="E264" s="70" t="s">
        <v>311</v>
      </c>
      <c r="F264" s="111" t="s">
        <v>868</v>
      </c>
      <c r="G264" s="66">
        <v>288</v>
      </c>
      <c r="H264" s="67">
        <v>25</v>
      </c>
      <c r="I264" s="67">
        <v>7200</v>
      </c>
      <c r="J264" s="68">
        <v>123456789</v>
      </c>
      <c r="K264" s="69" t="s">
        <v>887</v>
      </c>
    </row>
    <row r="265" spans="2:11" ht="20.100000000000001" customHeight="1" x14ac:dyDescent="0.3">
      <c r="B265" s="62">
        <v>45192</v>
      </c>
      <c r="C265" s="63" t="s">
        <v>1150</v>
      </c>
      <c r="D265" s="64">
        <v>123457051</v>
      </c>
      <c r="E265" s="65" t="s">
        <v>312</v>
      </c>
      <c r="F265" s="53" t="s">
        <v>868</v>
      </c>
      <c r="G265" s="66">
        <v>412</v>
      </c>
      <c r="H265" s="67">
        <v>21</v>
      </c>
      <c r="I265" s="67">
        <v>8652</v>
      </c>
      <c r="J265" s="68">
        <v>123456789</v>
      </c>
      <c r="K265" s="69" t="s">
        <v>887</v>
      </c>
    </row>
    <row r="266" spans="2:11" ht="20.100000000000001" customHeight="1" x14ac:dyDescent="0.3">
      <c r="B266" s="62">
        <v>45193</v>
      </c>
      <c r="C266" s="63" t="s">
        <v>1151</v>
      </c>
      <c r="D266" s="64">
        <v>123457052</v>
      </c>
      <c r="E266" s="70" t="s">
        <v>313</v>
      </c>
      <c r="F266" s="111" t="s">
        <v>868</v>
      </c>
      <c r="G266" s="66">
        <v>346</v>
      </c>
      <c r="H266" s="67">
        <v>21</v>
      </c>
      <c r="I266" s="67">
        <v>7266</v>
      </c>
      <c r="J266" s="68">
        <v>123456789</v>
      </c>
      <c r="K266" s="69" t="s">
        <v>889</v>
      </c>
    </row>
    <row r="267" spans="2:11" ht="20.100000000000001" customHeight="1" x14ac:dyDescent="0.3">
      <c r="B267" s="62">
        <v>45194</v>
      </c>
      <c r="C267" s="63" t="s">
        <v>1152</v>
      </c>
      <c r="D267" s="64">
        <v>123457053</v>
      </c>
      <c r="E267" s="65" t="s">
        <v>314</v>
      </c>
      <c r="F267" s="53" t="s">
        <v>869</v>
      </c>
      <c r="G267" s="66">
        <v>273</v>
      </c>
      <c r="H267" s="67">
        <v>21</v>
      </c>
      <c r="I267" s="67">
        <v>5733</v>
      </c>
      <c r="J267" s="68">
        <v>123456789</v>
      </c>
      <c r="K267" s="69" t="s">
        <v>887</v>
      </c>
    </row>
    <row r="268" spans="2:11" ht="20.100000000000001" customHeight="1" x14ac:dyDescent="0.3">
      <c r="B268" s="62">
        <v>45195</v>
      </c>
      <c r="C268" s="63" t="s">
        <v>1153</v>
      </c>
      <c r="D268" s="64">
        <v>123457054</v>
      </c>
      <c r="E268" s="70" t="s">
        <v>315</v>
      </c>
      <c r="F268" s="111" t="s">
        <v>868</v>
      </c>
      <c r="G268" s="66">
        <v>472</v>
      </c>
      <c r="H268" s="67">
        <v>25</v>
      </c>
      <c r="I268" s="67">
        <v>11800</v>
      </c>
      <c r="J268" s="68">
        <v>123456789</v>
      </c>
      <c r="K268" s="69" t="s">
        <v>887</v>
      </c>
    </row>
    <row r="269" spans="2:11" ht="20.100000000000001" customHeight="1" x14ac:dyDescent="0.3">
      <c r="B269" s="62">
        <v>45196</v>
      </c>
      <c r="C269" s="63" t="s">
        <v>1154</v>
      </c>
      <c r="D269" s="64">
        <v>123457055</v>
      </c>
      <c r="E269" s="65" t="s">
        <v>316</v>
      </c>
      <c r="F269" s="53" t="s">
        <v>869</v>
      </c>
      <c r="G269" s="66">
        <v>304</v>
      </c>
      <c r="H269" s="67">
        <v>21</v>
      </c>
      <c r="I269" s="67">
        <v>6384</v>
      </c>
      <c r="J269" s="68">
        <v>123456789</v>
      </c>
      <c r="K269" s="69" t="s">
        <v>889</v>
      </c>
    </row>
    <row r="270" spans="2:11" ht="20.100000000000001" customHeight="1" x14ac:dyDescent="0.3">
      <c r="B270" s="62">
        <v>45197</v>
      </c>
      <c r="C270" s="63" t="s">
        <v>1155</v>
      </c>
      <c r="D270" s="64">
        <v>123457056</v>
      </c>
      <c r="E270" s="70" t="s">
        <v>317</v>
      </c>
      <c r="F270" s="111" t="s">
        <v>869</v>
      </c>
      <c r="G270" s="66">
        <v>472</v>
      </c>
      <c r="H270" s="67">
        <v>22</v>
      </c>
      <c r="I270" s="67">
        <v>10384</v>
      </c>
      <c r="J270" s="68">
        <v>123456789</v>
      </c>
      <c r="K270" s="69" t="s">
        <v>887</v>
      </c>
    </row>
    <row r="271" spans="2:11" ht="20.100000000000001" customHeight="1" x14ac:dyDescent="0.3">
      <c r="B271" s="62">
        <v>45198</v>
      </c>
      <c r="C271" s="63" t="s">
        <v>1156</v>
      </c>
      <c r="D271" s="64">
        <v>123457057</v>
      </c>
      <c r="E271" s="65" t="s">
        <v>318</v>
      </c>
      <c r="F271" s="53" t="s">
        <v>868</v>
      </c>
      <c r="G271" s="66">
        <v>327</v>
      </c>
      <c r="H271" s="67">
        <v>24</v>
      </c>
      <c r="I271" s="67">
        <v>7848</v>
      </c>
      <c r="J271" s="68">
        <v>123456789</v>
      </c>
      <c r="K271" s="69" t="s">
        <v>887</v>
      </c>
    </row>
    <row r="272" spans="2:11" ht="20.100000000000001" customHeight="1" x14ac:dyDescent="0.3">
      <c r="B272" s="62">
        <v>45199</v>
      </c>
      <c r="C272" s="63" t="s">
        <v>1157</v>
      </c>
      <c r="D272" s="64">
        <v>123457058</v>
      </c>
      <c r="E272" s="70" t="s">
        <v>319</v>
      </c>
      <c r="F272" s="111" t="s">
        <v>868</v>
      </c>
      <c r="G272" s="66">
        <v>339</v>
      </c>
      <c r="H272" s="67">
        <v>27</v>
      </c>
      <c r="I272" s="67">
        <v>9153</v>
      </c>
      <c r="J272" s="68">
        <v>123456789</v>
      </c>
      <c r="K272" s="69" t="s">
        <v>887</v>
      </c>
    </row>
    <row r="273" spans="2:11" ht="20.100000000000001" customHeight="1" x14ac:dyDescent="0.3">
      <c r="B273" s="62">
        <v>45200</v>
      </c>
      <c r="C273" s="63" t="s">
        <v>1158</v>
      </c>
      <c r="D273" s="64">
        <v>123457059</v>
      </c>
      <c r="E273" s="65" t="s">
        <v>320</v>
      </c>
      <c r="F273" s="53" t="s">
        <v>868</v>
      </c>
      <c r="G273" s="66">
        <v>476</v>
      </c>
      <c r="H273" s="67">
        <v>27</v>
      </c>
      <c r="I273" s="67">
        <v>12852</v>
      </c>
      <c r="J273" s="68">
        <v>123456789</v>
      </c>
      <c r="K273" s="69" t="s">
        <v>887</v>
      </c>
    </row>
    <row r="274" spans="2:11" ht="20.100000000000001" customHeight="1" x14ac:dyDescent="0.3">
      <c r="B274" s="62">
        <v>45201</v>
      </c>
      <c r="C274" s="63" t="s">
        <v>1159</v>
      </c>
      <c r="D274" s="64">
        <v>123457060</v>
      </c>
      <c r="E274" s="70" t="s">
        <v>321</v>
      </c>
      <c r="F274" s="111" t="s">
        <v>868</v>
      </c>
      <c r="G274" s="66">
        <v>428</v>
      </c>
      <c r="H274" s="67">
        <v>29</v>
      </c>
      <c r="I274" s="67">
        <v>12412</v>
      </c>
      <c r="J274" s="68">
        <v>123456789</v>
      </c>
      <c r="K274" s="69" t="s">
        <v>887</v>
      </c>
    </row>
    <row r="275" spans="2:11" ht="20.100000000000001" customHeight="1" x14ac:dyDescent="0.3">
      <c r="B275" s="62">
        <v>45202</v>
      </c>
      <c r="C275" s="63" t="s">
        <v>1160</v>
      </c>
      <c r="D275" s="64">
        <v>123457061</v>
      </c>
      <c r="E275" s="65" t="s">
        <v>322</v>
      </c>
      <c r="F275" s="53" t="s">
        <v>869</v>
      </c>
      <c r="G275" s="66">
        <v>299</v>
      </c>
      <c r="H275" s="67">
        <v>31</v>
      </c>
      <c r="I275" s="67">
        <v>9269</v>
      </c>
      <c r="J275" s="68">
        <v>123456789</v>
      </c>
      <c r="K275" s="69" t="s">
        <v>887</v>
      </c>
    </row>
    <row r="276" spans="2:11" ht="20.100000000000001" customHeight="1" x14ac:dyDescent="0.3">
      <c r="B276" s="62">
        <v>45203</v>
      </c>
      <c r="C276" s="63" t="s">
        <v>1161</v>
      </c>
      <c r="D276" s="64">
        <v>123457062</v>
      </c>
      <c r="E276" s="70" t="s">
        <v>323</v>
      </c>
      <c r="F276" s="111" t="s">
        <v>868</v>
      </c>
      <c r="G276" s="66">
        <v>351</v>
      </c>
      <c r="H276" s="67">
        <v>31</v>
      </c>
      <c r="I276" s="67">
        <v>10881</v>
      </c>
      <c r="J276" s="68">
        <v>123456789</v>
      </c>
      <c r="K276" s="69" t="s">
        <v>887</v>
      </c>
    </row>
    <row r="277" spans="2:11" ht="20.100000000000001" customHeight="1" x14ac:dyDescent="0.3">
      <c r="B277" s="62">
        <v>45204</v>
      </c>
      <c r="C277" s="63" t="s">
        <v>1162</v>
      </c>
      <c r="D277" s="64">
        <v>123457063</v>
      </c>
      <c r="E277" s="65" t="s">
        <v>324</v>
      </c>
      <c r="F277" s="53" t="s">
        <v>869</v>
      </c>
      <c r="G277" s="66">
        <v>491</v>
      </c>
      <c r="H277" s="67">
        <v>27</v>
      </c>
      <c r="I277" s="67">
        <v>13257</v>
      </c>
      <c r="J277" s="68">
        <v>123456789</v>
      </c>
      <c r="K277" s="69" t="s">
        <v>889</v>
      </c>
    </row>
    <row r="278" spans="2:11" ht="20.100000000000001" customHeight="1" x14ac:dyDescent="0.3">
      <c r="B278" s="62">
        <v>45205</v>
      </c>
      <c r="C278" s="63" t="s">
        <v>1163</v>
      </c>
      <c r="D278" s="64">
        <v>123457064</v>
      </c>
      <c r="E278" s="70" t="s">
        <v>325</v>
      </c>
      <c r="F278" s="111" t="s">
        <v>868</v>
      </c>
      <c r="G278" s="66">
        <v>320</v>
      </c>
      <c r="H278" s="67">
        <v>22</v>
      </c>
      <c r="I278" s="67">
        <v>7040</v>
      </c>
      <c r="J278" s="68">
        <v>123456789</v>
      </c>
      <c r="K278" s="69" t="s">
        <v>889</v>
      </c>
    </row>
    <row r="279" spans="2:11" ht="20.100000000000001" customHeight="1" x14ac:dyDescent="0.3">
      <c r="B279" s="62">
        <v>45206</v>
      </c>
      <c r="C279" s="63" t="s">
        <v>1164</v>
      </c>
      <c r="D279" s="64">
        <v>123457065</v>
      </c>
      <c r="E279" s="65" t="s">
        <v>326</v>
      </c>
      <c r="F279" s="53" t="s">
        <v>869</v>
      </c>
      <c r="G279" s="66">
        <v>313</v>
      </c>
      <c r="H279" s="67">
        <v>22</v>
      </c>
      <c r="I279" s="67">
        <v>6886</v>
      </c>
      <c r="J279" s="68">
        <v>123456789</v>
      </c>
      <c r="K279" s="69" t="s">
        <v>887</v>
      </c>
    </row>
    <row r="280" spans="2:11" ht="20.100000000000001" customHeight="1" x14ac:dyDescent="0.3">
      <c r="B280" s="62">
        <v>45207</v>
      </c>
      <c r="C280" s="63" t="s">
        <v>1165</v>
      </c>
      <c r="D280" s="64">
        <v>123457066</v>
      </c>
      <c r="E280" s="70" t="s">
        <v>327</v>
      </c>
      <c r="F280" s="111" t="s">
        <v>868</v>
      </c>
      <c r="G280" s="66">
        <v>433</v>
      </c>
      <c r="H280" s="67">
        <v>22</v>
      </c>
      <c r="I280" s="67">
        <v>9526</v>
      </c>
      <c r="J280" s="68">
        <v>123456789</v>
      </c>
      <c r="K280" s="69" t="s">
        <v>887</v>
      </c>
    </row>
    <row r="281" spans="2:11" ht="20.100000000000001" customHeight="1" x14ac:dyDescent="0.3">
      <c r="B281" s="62">
        <v>45208</v>
      </c>
      <c r="C281" s="63" t="s">
        <v>1166</v>
      </c>
      <c r="D281" s="64">
        <v>123457067</v>
      </c>
      <c r="E281" s="65" t="s">
        <v>328</v>
      </c>
      <c r="F281" s="53" t="s">
        <v>868</v>
      </c>
      <c r="G281" s="66">
        <v>432</v>
      </c>
      <c r="H281" s="67">
        <v>24</v>
      </c>
      <c r="I281" s="67">
        <v>10368</v>
      </c>
      <c r="J281" s="68">
        <v>123456789</v>
      </c>
      <c r="K281" s="69" t="s">
        <v>887</v>
      </c>
    </row>
    <row r="282" spans="2:11" ht="20.100000000000001" customHeight="1" x14ac:dyDescent="0.3">
      <c r="B282" s="62">
        <v>45209</v>
      </c>
      <c r="C282" s="63" t="s">
        <v>1167</v>
      </c>
      <c r="D282" s="64">
        <v>123457068</v>
      </c>
      <c r="E282" s="70" t="s">
        <v>329</v>
      </c>
      <c r="F282" s="111" t="s">
        <v>868</v>
      </c>
      <c r="G282" s="66">
        <v>363</v>
      </c>
      <c r="H282" s="67">
        <v>23</v>
      </c>
      <c r="I282" s="67">
        <v>8349</v>
      </c>
      <c r="J282" s="68">
        <v>123456789</v>
      </c>
      <c r="K282" s="69" t="s">
        <v>887</v>
      </c>
    </row>
    <row r="283" spans="2:11" ht="20.100000000000001" customHeight="1" x14ac:dyDescent="0.3">
      <c r="B283" s="62">
        <v>45210</v>
      </c>
      <c r="C283" s="63" t="s">
        <v>1168</v>
      </c>
      <c r="D283" s="64">
        <v>123457069</v>
      </c>
      <c r="E283" s="65" t="s">
        <v>330</v>
      </c>
      <c r="F283" s="53" t="s">
        <v>868</v>
      </c>
      <c r="G283" s="66">
        <v>334</v>
      </c>
      <c r="H283" s="67">
        <v>23</v>
      </c>
      <c r="I283" s="67">
        <v>7682</v>
      </c>
      <c r="J283" s="68">
        <v>123456789</v>
      </c>
      <c r="K283" s="69" t="s">
        <v>887</v>
      </c>
    </row>
    <row r="284" spans="2:11" ht="20.100000000000001" customHeight="1" x14ac:dyDescent="0.3">
      <c r="B284" s="62">
        <v>45211</v>
      </c>
      <c r="C284" s="63" t="s">
        <v>1169</v>
      </c>
      <c r="D284" s="64">
        <v>123457070</v>
      </c>
      <c r="E284" s="70" t="s">
        <v>331</v>
      </c>
      <c r="F284" s="111" t="s">
        <v>868</v>
      </c>
      <c r="G284" s="66">
        <v>292</v>
      </c>
      <c r="H284" s="67">
        <v>31</v>
      </c>
      <c r="I284" s="67">
        <v>9052</v>
      </c>
      <c r="J284" s="68">
        <v>123456789</v>
      </c>
      <c r="K284" s="69" t="s">
        <v>889</v>
      </c>
    </row>
    <row r="285" spans="2:11" ht="20.100000000000001" customHeight="1" x14ac:dyDescent="0.3">
      <c r="B285" s="62">
        <v>45212</v>
      </c>
      <c r="C285" s="63" t="s">
        <v>1170</v>
      </c>
      <c r="D285" s="64">
        <v>123457071</v>
      </c>
      <c r="E285" s="65" t="s">
        <v>332</v>
      </c>
      <c r="F285" s="53" t="s">
        <v>868</v>
      </c>
      <c r="G285" s="66">
        <v>476</v>
      </c>
      <c r="H285" s="67">
        <v>25</v>
      </c>
      <c r="I285" s="67">
        <v>11900</v>
      </c>
      <c r="J285" s="68">
        <v>123456789</v>
      </c>
      <c r="K285" s="69" t="s">
        <v>887</v>
      </c>
    </row>
    <row r="286" spans="2:11" ht="20.100000000000001" customHeight="1" x14ac:dyDescent="0.3">
      <c r="B286" s="62">
        <v>45213</v>
      </c>
      <c r="C286" s="63" t="s">
        <v>1171</v>
      </c>
      <c r="D286" s="64">
        <v>123457072</v>
      </c>
      <c r="E286" s="70" t="s">
        <v>333</v>
      </c>
      <c r="F286" s="111" t="s">
        <v>868</v>
      </c>
      <c r="G286" s="66">
        <v>473</v>
      </c>
      <c r="H286" s="67">
        <v>28</v>
      </c>
      <c r="I286" s="67">
        <v>13244</v>
      </c>
      <c r="J286" s="68">
        <v>123456789</v>
      </c>
      <c r="K286" s="69" t="s">
        <v>887</v>
      </c>
    </row>
    <row r="287" spans="2:11" ht="20.100000000000001" customHeight="1" x14ac:dyDescent="0.3">
      <c r="B287" s="62">
        <v>45214</v>
      </c>
      <c r="C287" s="63" t="s">
        <v>1172</v>
      </c>
      <c r="D287" s="64">
        <v>123457073</v>
      </c>
      <c r="E287" s="65" t="s">
        <v>334</v>
      </c>
      <c r="F287" s="53" t="s">
        <v>868</v>
      </c>
      <c r="G287" s="66">
        <v>365</v>
      </c>
      <c r="H287" s="67">
        <v>30</v>
      </c>
      <c r="I287" s="67">
        <v>10950</v>
      </c>
      <c r="J287" s="68">
        <v>123456789</v>
      </c>
      <c r="K287" s="69" t="s">
        <v>887</v>
      </c>
    </row>
    <row r="288" spans="2:11" ht="20.100000000000001" customHeight="1" x14ac:dyDescent="0.3">
      <c r="B288" s="62">
        <v>45215</v>
      </c>
      <c r="C288" s="63" t="s">
        <v>1173</v>
      </c>
      <c r="D288" s="64">
        <v>123457074</v>
      </c>
      <c r="E288" s="70" t="s">
        <v>335</v>
      </c>
      <c r="F288" s="53" t="s">
        <v>868</v>
      </c>
      <c r="G288" s="66">
        <v>345</v>
      </c>
      <c r="H288" s="67">
        <v>30</v>
      </c>
      <c r="I288" s="67">
        <v>10350</v>
      </c>
      <c r="J288" s="68">
        <v>123456789</v>
      </c>
      <c r="K288" s="69" t="s">
        <v>887</v>
      </c>
    </row>
    <row r="289" spans="2:11" ht="20.100000000000001" customHeight="1" x14ac:dyDescent="0.3">
      <c r="B289" s="62">
        <v>45216</v>
      </c>
      <c r="C289" s="63" t="s">
        <v>1174</v>
      </c>
      <c r="D289" s="64">
        <v>123457075</v>
      </c>
      <c r="E289" s="65" t="s">
        <v>336</v>
      </c>
      <c r="F289" s="53" t="s">
        <v>868</v>
      </c>
      <c r="G289" s="66">
        <v>502</v>
      </c>
      <c r="H289" s="67">
        <v>24</v>
      </c>
      <c r="I289" s="67">
        <v>12048</v>
      </c>
      <c r="J289" s="68">
        <v>123456789</v>
      </c>
      <c r="K289" s="69" t="s">
        <v>889</v>
      </c>
    </row>
    <row r="290" spans="2:11" ht="20.100000000000001" customHeight="1" x14ac:dyDescent="0.3">
      <c r="B290" s="62">
        <v>45217</v>
      </c>
      <c r="C290" s="63" t="s">
        <v>1175</v>
      </c>
      <c r="D290" s="64">
        <v>123457076</v>
      </c>
      <c r="E290" s="70" t="s">
        <v>337</v>
      </c>
      <c r="F290" s="53" t="s">
        <v>868</v>
      </c>
      <c r="G290" s="66">
        <v>254</v>
      </c>
      <c r="H290" s="67">
        <v>24</v>
      </c>
      <c r="I290" s="67">
        <v>6096</v>
      </c>
      <c r="J290" s="68">
        <v>123456789</v>
      </c>
      <c r="K290" s="69" t="s">
        <v>889</v>
      </c>
    </row>
    <row r="291" spans="2:11" ht="20.100000000000001" customHeight="1" x14ac:dyDescent="0.3">
      <c r="B291" s="62">
        <v>45218</v>
      </c>
      <c r="C291" s="63" t="s">
        <v>1176</v>
      </c>
      <c r="D291" s="64">
        <v>123457077</v>
      </c>
      <c r="E291" s="65" t="s">
        <v>338</v>
      </c>
      <c r="F291" s="53" t="s">
        <v>868</v>
      </c>
      <c r="G291" s="66">
        <v>308</v>
      </c>
      <c r="H291" s="67">
        <v>23</v>
      </c>
      <c r="I291" s="67">
        <v>7084</v>
      </c>
      <c r="J291" s="68">
        <v>123456789</v>
      </c>
      <c r="K291" s="69" t="s">
        <v>887</v>
      </c>
    </row>
    <row r="292" spans="2:11" ht="20.100000000000001" customHeight="1" x14ac:dyDescent="0.3">
      <c r="B292" s="62">
        <v>45219</v>
      </c>
      <c r="C292" s="63" t="s">
        <v>1177</v>
      </c>
      <c r="D292" s="64">
        <v>123457078</v>
      </c>
      <c r="E292" s="70" t="s">
        <v>339</v>
      </c>
      <c r="F292" s="53" t="s">
        <v>868</v>
      </c>
      <c r="G292" s="66">
        <v>471</v>
      </c>
      <c r="H292" s="67">
        <v>26</v>
      </c>
      <c r="I292" s="67">
        <v>12246</v>
      </c>
      <c r="J292" s="68">
        <v>123456789</v>
      </c>
      <c r="K292" s="69" t="s">
        <v>887</v>
      </c>
    </row>
    <row r="293" spans="2:11" ht="20.100000000000001" customHeight="1" x14ac:dyDescent="0.3">
      <c r="B293" s="62">
        <v>45220</v>
      </c>
      <c r="C293" s="63" t="s">
        <v>1178</v>
      </c>
      <c r="D293" s="64">
        <v>123457079</v>
      </c>
      <c r="E293" s="65" t="s">
        <v>340</v>
      </c>
      <c r="F293" s="53" t="s">
        <v>869</v>
      </c>
      <c r="G293" s="66">
        <v>255</v>
      </c>
      <c r="H293" s="67">
        <v>24</v>
      </c>
      <c r="I293" s="67">
        <v>6120</v>
      </c>
      <c r="J293" s="68">
        <v>123456789</v>
      </c>
      <c r="K293" s="69" t="s">
        <v>887</v>
      </c>
    </row>
    <row r="294" spans="2:11" ht="20.100000000000001" customHeight="1" x14ac:dyDescent="0.3">
      <c r="B294" s="62">
        <v>45221</v>
      </c>
      <c r="C294" s="63" t="s">
        <v>1179</v>
      </c>
      <c r="D294" s="64">
        <v>123457080</v>
      </c>
      <c r="E294" s="70" t="s">
        <v>341</v>
      </c>
      <c r="F294" s="111" t="s">
        <v>868</v>
      </c>
      <c r="G294" s="66">
        <v>310</v>
      </c>
      <c r="H294" s="67">
        <v>21</v>
      </c>
      <c r="I294" s="67">
        <v>6510</v>
      </c>
      <c r="J294" s="68">
        <v>123456789</v>
      </c>
      <c r="K294" s="69" t="s">
        <v>887</v>
      </c>
    </row>
    <row r="295" spans="2:11" ht="20.100000000000001" customHeight="1" x14ac:dyDescent="0.3">
      <c r="B295" s="62">
        <v>45222</v>
      </c>
      <c r="C295" s="63" t="s">
        <v>1180</v>
      </c>
      <c r="D295" s="64">
        <v>123457081</v>
      </c>
      <c r="E295" s="65" t="s">
        <v>342</v>
      </c>
      <c r="F295" s="111" t="s">
        <v>868</v>
      </c>
      <c r="G295" s="66">
        <v>425</v>
      </c>
      <c r="H295" s="67">
        <v>22</v>
      </c>
      <c r="I295" s="67">
        <v>9350</v>
      </c>
      <c r="J295" s="68">
        <v>123456789</v>
      </c>
      <c r="K295" s="69" t="s">
        <v>889</v>
      </c>
    </row>
    <row r="296" spans="2:11" ht="20.100000000000001" customHeight="1" x14ac:dyDescent="0.3">
      <c r="B296" s="62">
        <v>45223</v>
      </c>
      <c r="C296" s="63" t="s">
        <v>1181</v>
      </c>
      <c r="D296" s="64">
        <v>123457082</v>
      </c>
      <c r="E296" s="70" t="s">
        <v>343</v>
      </c>
      <c r="F296" s="111" t="s">
        <v>868</v>
      </c>
      <c r="G296" s="66">
        <v>509</v>
      </c>
      <c r="H296" s="67">
        <v>29</v>
      </c>
      <c r="I296" s="67">
        <v>14761</v>
      </c>
      <c r="J296" s="68">
        <v>123456789</v>
      </c>
      <c r="K296" s="69" t="s">
        <v>889</v>
      </c>
    </row>
    <row r="297" spans="2:11" ht="20.100000000000001" customHeight="1" x14ac:dyDescent="0.3">
      <c r="B297" s="62">
        <v>45224</v>
      </c>
      <c r="C297" s="63" t="s">
        <v>1182</v>
      </c>
      <c r="D297" s="64">
        <v>123457083</v>
      </c>
      <c r="E297" s="65" t="s">
        <v>344</v>
      </c>
      <c r="F297" s="53" t="s">
        <v>869</v>
      </c>
      <c r="G297" s="66">
        <v>474</v>
      </c>
      <c r="H297" s="67">
        <v>31</v>
      </c>
      <c r="I297" s="67">
        <v>14694</v>
      </c>
      <c r="J297" s="68">
        <v>123456789</v>
      </c>
      <c r="K297" s="69" t="s">
        <v>887</v>
      </c>
    </row>
    <row r="298" spans="2:11" ht="20.100000000000001" customHeight="1" x14ac:dyDescent="0.3">
      <c r="B298" s="62">
        <v>45225</v>
      </c>
      <c r="C298" s="63" t="s">
        <v>1183</v>
      </c>
      <c r="D298" s="64">
        <v>123457084</v>
      </c>
      <c r="E298" s="70" t="s">
        <v>345</v>
      </c>
      <c r="F298" s="111" t="s">
        <v>868</v>
      </c>
      <c r="G298" s="66">
        <v>498</v>
      </c>
      <c r="H298" s="67">
        <v>26</v>
      </c>
      <c r="I298" s="67">
        <v>12948</v>
      </c>
      <c r="J298" s="68">
        <v>123456789</v>
      </c>
      <c r="K298" s="69" t="s">
        <v>889</v>
      </c>
    </row>
    <row r="299" spans="2:11" ht="20.100000000000001" customHeight="1" x14ac:dyDescent="0.3">
      <c r="B299" s="62">
        <v>45226</v>
      </c>
      <c r="C299" s="63" t="s">
        <v>1184</v>
      </c>
      <c r="D299" s="64">
        <v>123457085</v>
      </c>
      <c r="E299" s="65" t="s">
        <v>346</v>
      </c>
      <c r="F299" s="111" t="s">
        <v>868</v>
      </c>
      <c r="G299" s="66">
        <v>266</v>
      </c>
      <c r="H299" s="67">
        <v>31</v>
      </c>
      <c r="I299" s="67">
        <v>8246</v>
      </c>
      <c r="J299" s="68">
        <v>123456789</v>
      </c>
      <c r="K299" s="69" t="s">
        <v>889</v>
      </c>
    </row>
    <row r="300" spans="2:11" ht="20.100000000000001" customHeight="1" x14ac:dyDescent="0.3">
      <c r="B300" s="62">
        <v>45227</v>
      </c>
      <c r="C300" s="63" t="s">
        <v>1185</v>
      </c>
      <c r="D300" s="64">
        <v>123457086</v>
      </c>
      <c r="E300" s="70" t="s">
        <v>347</v>
      </c>
      <c r="F300" s="111" t="s">
        <v>868</v>
      </c>
      <c r="G300" s="66">
        <v>420</v>
      </c>
      <c r="H300" s="67">
        <v>26</v>
      </c>
      <c r="I300" s="67">
        <v>10920</v>
      </c>
      <c r="J300" s="68">
        <v>123456789</v>
      </c>
      <c r="K300" s="69" t="s">
        <v>887</v>
      </c>
    </row>
    <row r="301" spans="2:11" ht="20.100000000000001" customHeight="1" x14ac:dyDescent="0.3">
      <c r="B301" s="62">
        <v>45228</v>
      </c>
      <c r="C301" s="63" t="s">
        <v>1186</v>
      </c>
      <c r="D301" s="64">
        <v>123457087</v>
      </c>
      <c r="E301" s="65" t="s">
        <v>348</v>
      </c>
      <c r="F301" s="111" t="s">
        <v>868</v>
      </c>
      <c r="G301" s="66">
        <v>252</v>
      </c>
      <c r="H301" s="67">
        <v>30</v>
      </c>
      <c r="I301" s="67">
        <v>7560</v>
      </c>
      <c r="J301" s="68">
        <v>123456789</v>
      </c>
      <c r="K301" s="69" t="s">
        <v>889</v>
      </c>
    </row>
    <row r="302" spans="2:11" ht="20.100000000000001" customHeight="1" x14ac:dyDescent="0.3">
      <c r="B302" s="62">
        <v>45229</v>
      </c>
      <c r="C302" s="63" t="s">
        <v>1187</v>
      </c>
      <c r="D302" s="64">
        <v>123457088</v>
      </c>
      <c r="E302" s="70" t="s">
        <v>349</v>
      </c>
      <c r="F302" s="111" t="s">
        <v>868</v>
      </c>
      <c r="G302" s="66">
        <v>342</v>
      </c>
      <c r="H302" s="67">
        <v>22</v>
      </c>
      <c r="I302" s="67">
        <v>7524</v>
      </c>
      <c r="J302" s="68">
        <v>123456789</v>
      </c>
      <c r="K302" s="69" t="s">
        <v>889</v>
      </c>
    </row>
    <row r="303" spans="2:11" ht="20.100000000000001" customHeight="1" x14ac:dyDescent="0.3">
      <c r="B303" s="62">
        <v>45230</v>
      </c>
      <c r="C303" s="63" t="s">
        <v>1188</v>
      </c>
      <c r="D303" s="64">
        <v>123457089</v>
      </c>
      <c r="E303" s="65" t="s">
        <v>350</v>
      </c>
      <c r="F303" s="53" t="s">
        <v>869</v>
      </c>
      <c r="G303" s="66">
        <v>283</v>
      </c>
      <c r="H303" s="67">
        <v>29</v>
      </c>
      <c r="I303" s="67">
        <v>8207</v>
      </c>
      <c r="J303" s="68">
        <v>123456789</v>
      </c>
      <c r="K303" s="69" t="s">
        <v>887</v>
      </c>
    </row>
    <row r="304" spans="2:11" ht="20.100000000000001" customHeight="1" x14ac:dyDescent="0.3">
      <c r="B304" s="62">
        <v>45231</v>
      </c>
      <c r="C304" s="63" t="s">
        <v>1189</v>
      </c>
      <c r="D304" s="64">
        <v>123457090</v>
      </c>
      <c r="E304" s="70" t="s">
        <v>351</v>
      </c>
      <c r="F304" s="111" t="s">
        <v>868</v>
      </c>
      <c r="G304" s="66">
        <v>277</v>
      </c>
      <c r="H304" s="67">
        <v>31</v>
      </c>
      <c r="I304" s="67">
        <v>8587</v>
      </c>
      <c r="J304" s="68">
        <v>123456789</v>
      </c>
      <c r="K304" s="69" t="s">
        <v>887</v>
      </c>
    </row>
    <row r="305" spans="2:11" ht="20.100000000000001" customHeight="1" x14ac:dyDescent="0.3">
      <c r="B305" s="62">
        <v>45232</v>
      </c>
      <c r="C305" s="63" t="s">
        <v>1190</v>
      </c>
      <c r="D305" s="64">
        <v>123457091</v>
      </c>
      <c r="E305" s="65" t="s">
        <v>352</v>
      </c>
      <c r="F305" s="111" t="s">
        <v>868</v>
      </c>
      <c r="G305" s="66">
        <v>210</v>
      </c>
      <c r="H305" s="67">
        <v>21</v>
      </c>
      <c r="I305" s="67">
        <v>4410</v>
      </c>
      <c r="J305" s="68">
        <v>123456789</v>
      </c>
      <c r="K305" s="69" t="s">
        <v>887</v>
      </c>
    </row>
    <row r="306" spans="2:11" ht="20.100000000000001" customHeight="1" x14ac:dyDescent="0.3">
      <c r="B306" s="62">
        <v>45233</v>
      </c>
      <c r="C306" s="63" t="s">
        <v>1191</v>
      </c>
      <c r="D306" s="64">
        <v>123457092</v>
      </c>
      <c r="E306" s="70" t="s">
        <v>353</v>
      </c>
      <c r="F306" s="111" t="s">
        <v>868</v>
      </c>
      <c r="G306" s="66">
        <v>259</v>
      </c>
      <c r="H306" s="67">
        <v>25</v>
      </c>
      <c r="I306" s="67">
        <v>6475</v>
      </c>
      <c r="J306" s="68">
        <v>123456789</v>
      </c>
      <c r="K306" s="69" t="s">
        <v>887</v>
      </c>
    </row>
    <row r="307" spans="2:11" ht="20.100000000000001" customHeight="1" x14ac:dyDescent="0.3">
      <c r="B307" s="62">
        <v>45234</v>
      </c>
      <c r="C307" s="63" t="s">
        <v>1192</v>
      </c>
      <c r="D307" s="64">
        <v>123457093</v>
      </c>
      <c r="E307" s="65" t="s">
        <v>354</v>
      </c>
      <c r="F307" s="53" t="s">
        <v>869</v>
      </c>
      <c r="G307" s="66">
        <v>222</v>
      </c>
      <c r="H307" s="67">
        <v>26</v>
      </c>
      <c r="I307" s="67">
        <v>5772</v>
      </c>
      <c r="J307" s="68">
        <v>123456789</v>
      </c>
      <c r="K307" s="69" t="s">
        <v>889</v>
      </c>
    </row>
    <row r="308" spans="2:11" ht="20.100000000000001" customHeight="1" x14ac:dyDescent="0.3">
      <c r="B308" s="62">
        <v>45235</v>
      </c>
      <c r="C308" s="63" t="s">
        <v>1193</v>
      </c>
      <c r="D308" s="64">
        <v>123457094</v>
      </c>
      <c r="E308" s="70" t="s">
        <v>355</v>
      </c>
      <c r="F308" s="111" t="s">
        <v>868</v>
      </c>
      <c r="G308" s="66">
        <v>270</v>
      </c>
      <c r="H308" s="67">
        <v>22</v>
      </c>
      <c r="I308" s="67">
        <v>5940</v>
      </c>
      <c r="J308" s="68">
        <v>123456789</v>
      </c>
      <c r="K308" s="69" t="s">
        <v>887</v>
      </c>
    </row>
    <row r="309" spans="2:11" ht="20.100000000000001" customHeight="1" x14ac:dyDescent="0.3">
      <c r="B309" s="62">
        <v>45236</v>
      </c>
      <c r="C309" s="63" t="s">
        <v>1194</v>
      </c>
      <c r="D309" s="64">
        <v>123457095</v>
      </c>
      <c r="E309" s="65" t="s">
        <v>356</v>
      </c>
      <c r="F309" s="111" t="s">
        <v>868</v>
      </c>
      <c r="G309" s="66">
        <v>277</v>
      </c>
      <c r="H309" s="67">
        <v>26</v>
      </c>
      <c r="I309" s="67">
        <v>7202</v>
      </c>
      <c r="J309" s="68">
        <v>123456789</v>
      </c>
      <c r="K309" s="69" t="s">
        <v>887</v>
      </c>
    </row>
    <row r="310" spans="2:11" ht="20.100000000000001" customHeight="1" x14ac:dyDescent="0.3">
      <c r="B310" s="62">
        <v>45237</v>
      </c>
      <c r="C310" s="63" t="s">
        <v>1195</v>
      </c>
      <c r="D310" s="64">
        <v>123457096</v>
      </c>
      <c r="E310" s="70" t="s">
        <v>357</v>
      </c>
      <c r="F310" s="111" t="s">
        <v>868</v>
      </c>
      <c r="G310" s="66">
        <v>287</v>
      </c>
      <c r="H310" s="67">
        <v>24</v>
      </c>
      <c r="I310" s="67">
        <v>6888</v>
      </c>
      <c r="J310" s="68">
        <v>123456789</v>
      </c>
      <c r="K310" s="69" t="s">
        <v>887</v>
      </c>
    </row>
    <row r="311" spans="2:11" ht="20.100000000000001" customHeight="1" x14ac:dyDescent="0.3">
      <c r="B311" s="62">
        <v>45238</v>
      </c>
      <c r="C311" s="63" t="s">
        <v>1196</v>
      </c>
      <c r="D311" s="64">
        <v>123457097</v>
      </c>
      <c r="E311" s="65" t="s">
        <v>358</v>
      </c>
      <c r="F311" s="111" t="s">
        <v>868</v>
      </c>
      <c r="G311" s="66">
        <v>218</v>
      </c>
      <c r="H311" s="67">
        <v>25</v>
      </c>
      <c r="I311" s="67">
        <v>5450</v>
      </c>
      <c r="J311" s="68">
        <v>123456789</v>
      </c>
      <c r="K311" s="69" t="s">
        <v>887</v>
      </c>
    </row>
    <row r="312" spans="2:11" ht="20.100000000000001" customHeight="1" x14ac:dyDescent="0.3">
      <c r="B312" s="62">
        <v>45239</v>
      </c>
      <c r="C312" s="63" t="s">
        <v>1197</v>
      </c>
      <c r="D312" s="64">
        <v>123457098</v>
      </c>
      <c r="E312" s="70" t="s">
        <v>359</v>
      </c>
      <c r="F312" s="111" t="s">
        <v>869</v>
      </c>
      <c r="G312" s="66">
        <v>286</v>
      </c>
      <c r="H312" s="67">
        <v>29</v>
      </c>
      <c r="I312" s="67">
        <v>8294</v>
      </c>
      <c r="J312" s="68">
        <v>123456789</v>
      </c>
      <c r="K312" s="69" t="s">
        <v>887</v>
      </c>
    </row>
    <row r="313" spans="2:11" ht="20.100000000000001" customHeight="1" x14ac:dyDescent="0.3">
      <c r="B313" s="62">
        <v>45240</v>
      </c>
      <c r="C313" s="63" t="s">
        <v>1198</v>
      </c>
      <c r="D313" s="64">
        <v>123457099</v>
      </c>
      <c r="E313" s="65" t="s">
        <v>360</v>
      </c>
      <c r="F313" s="53" t="s">
        <v>868</v>
      </c>
      <c r="G313" s="66">
        <v>209</v>
      </c>
      <c r="H313" s="67">
        <v>27</v>
      </c>
      <c r="I313" s="67">
        <v>5643</v>
      </c>
      <c r="J313" s="68">
        <v>123456789</v>
      </c>
      <c r="K313" s="69" t="s">
        <v>889</v>
      </c>
    </row>
    <row r="314" spans="2:11" ht="20.100000000000001" customHeight="1" x14ac:dyDescent="0.3">
      <c r="B314" s="62">
        <v>45241</v>
      </c>
      <c r="C314" s="63" t="s">
        <v>1199</v>
      </c>
      <c r="D314" s="64">
        <v>123457100</v>
      </c>
      <c r="E314" s="70" t="s">
        <v>361</v>
      </c>
      <c r="F314" s="53" t="s">
        <v>868</v>
      </c>
      <c r="G314" s="66">
        <v>203</v>
      </c>
      <c r="H314" s="67">
        <v>27</v>
      </c>
      <c r="I314" s="67">
        <v>5481</v>
      </c>
      <c r="J314" s="68">
        <v>123456789</v>
      </c>
      <c r="K314" s="69" t="s">
        <v>887</v>
      </c>
    </row>
    <row r="315" spans="2:11" ht="20.100000000000001" customHeight="1" x14ac:dyDescent="0.3">
      <c r="B315" s="62">
        <v>45242</v>
      </c>
      <c r="C315" s="63" t="s">
        <v>1200</v>
      </c>
      <c r="D315" s="64">
        <v>123457101</v>
      </c>
      <c r="E315" s="65" t="s">
        <v>362</v>
      </c>
      <c r="F315" s="53" t="s">
        <v>869</v>
      </c>
      <c r="G315" s="66">
        <v>266</v>
      </c>
      <c r="H315" s="67">
        <v>22</v>
      </c>
      <c r="I315" s="67">
        <v>5852</v>
      </c>
      <c r="J315" s="68">
        <v>123456789</v>
      </c>
      <c r="K315" s="69" t="s">
        <v>887</v>
      </c>
    </row>
    <row r="316" spans="2:11" ht="20.100000000000001" customHeight="1" x14ac:dyDescent="0.3">
      <c r="B316" s="62">
        <v>45243</v>
      </c>
      <c r="C316" s="63" t="s">
        <v>1201</v>
      </c>
      <c r="D316" s="64">
        <v>123457102</v>
      </c>
      <c r="E316" s="70" t="s">
        <v>363</v>
      </c>
      <c r="F316" s="111" t="s">
        <v>868</v>
      </c>
      <c r="G316" s="66">
        <v>286</v>
      </c>
      <c r="H316" s="67">
        <v>28</v>
      </c>
      <c r="I316" s="67">
        <v>8008</v>
      </c>
      <c r="J316" s="68">
        <v>123456789</v>
      </c>
      <c r="K316" s="69" t="s">
        <v>889</v>
      </c>
    </row>
    <row r="317" spans="2:11" ht="20.100000000000001" customHeight="1" x14ac:dyDescent="0.3">
      <c r="B317" s="62">
        <v>45244</v>
      </c>
      <c r="C317" s="63" t="s">
        <v>1202</v>
      </c>
      <c r="D317" s="64">
        <v>123457103</v>
      </c>
      <c r="E317" s="65" t="s">
        <v>364</v>
      </c>
      <c r="F317" s="111" t="s">
        <v>868</v>
      </c>
      <c r="G317" s="66">
        <v>202</v>
      </c>
      <c r="H317" s="67">
        <v>25</v>
      </c>
      <c r="I317" s="67">
        <v>5050</v>
      </c>
      <c r="J317" s="68">
        <v>123456789</v>
      </c>
      <c r="K317" s="69" t="s">
        <v>887</v>
      </c>
    </row>
    <row r="318" spans="2:11" ht="20.100000000000001" customHeight="1" x14ac:dyDescent="0.3">
      <c r="B318" s="62">
        <v>45245</v>
      </c>
      <c r="C318" s="63" t="s">
        <v>1203</v>
      </c>
      <c r="D318" s="64">
        <v>123457104</v>
      </c>
      <c r="E318" s="70" t="s">
        <v>365</v>
      </c>
      <c r="F318" s="111" t="s">
        <v>868</v>
      </c>
      <c r="G318" s="66">
        <v>268</v>
      </c>
      <c r="H318" s="67">
        <v>24</v>
      </c>
      <c r="I318" s="67">
        <v>6432</v>
      </c>
      <c r="J318" s="68">
        <v>123456789</v>
      </c>
      <c r="K318" s="69" t="s">
        <v>889</v>
      </c>
    </row>
    <row r="319" spans="2:11" ht="20.100000000000001" customHeight="1" x14ac:dyDescent="0.3">
      <c r="B319" s="62">
        <v>45246</v>
      </c>
      <c r="C319" s="63" t="s">
        <v>1204</v>
      </c>
      <c r="D319" s="64">
        <v>123457105</v>
      </c>
      <c r="E319" s="65" t="s">
        <v>366</v>
      </c>
      <c r="F319" s="111" t="s">
        <v>868</v>
      </c>
      <c r="G319" s="66">
        <v>247</v>
      </c>
      <c r="H319" s="67">
        <v>30</v>
      </c>
      <c r="I319" s="67">
        <v>7410</v>
      </c>
      <c r="J319" s="68">
        <v>123456789</v>
      </c>
      <c r="K319" s="69" t="s">
        <v>887</v>
      </c>
    </row>
    <row r="320" spans="2:11" ht="20.100000000000001" customHeight="1" x14ac:dyDescent="0.3">
      <c r="B320" s="62">
        <v>45247</v>
      </c>
      <c r="C320" s="63" t="s">
        <v>1205</v>
      </c>
      <c r="D320" s="64">
        <v>123457106</v>
      </c>
      <c r="E320" s="70" t="s">
        <v>367</v>
      </c>
      <c r="F320" s="111" t="s">
        <v>868</v>
      </c>
      <c r="G320" s="66">
        <v>233</v>
      </c>
      <c r="H320" s="67">
        <v>24</v>
      </c>
      <c r="I320" s="67">
        <v>5592</v>
      </c>
      <c r="J320" s="68">
        <v>123456789</v>
      </c>
      <c r="K320" s="69" t="s">
        <v>887</v>
      </c>
    </row>
    <row r="321" spans="2:11" ht="20.100000000000001" customHeight="1" x14ac:dyDescent="0.3">
      <c r="B321" s="62">
        <v>45248</v>
      </c>
      <c r="C321" s="63" t="s">
        <v>1206</v>
      </c>
      <c r="D321" s="64">
        <v>123457107</v>
      </c>
      <c r="E321" s="65" t="s">
        <v>368</v>
      </c>
      <c r="F321" s="111" t="s">
        <v>868</v>
      </c>
      <c r="G321" s="66">
        <v>284</v>
      </c>
      <c r="H321" s="67">
        <v>24</v>
      </c>
      <c r="I321" s="67">
        <v>6816</v>
      </c>
      <c r="J321" s="68">
        <v>123456789</v>
      </c>
      <c r="K321" s="69" t="s">
        <v>889</v>
      </c>
    </row>
    <row r="322" spans="2:11" ht="20.100000000000001" customHeight="1" x14ac:dyDescent="0.3">
      <c r="B322" s="62">
        <v>45249</v>
      </c>
      <c r="C322" s="63" t="s">
        <v>1207</v>
      </c>
      <c r="D322" s="64">
        <v>123457108</v>
      </c>
      <c r="E322" s="70" t="s">
        <v>369</v>
      </c>
      <c r="F322" s="111" t="s">
        <v>869</v>
      </c>
      <c r="G322" s="66">
        <v>210</v>
      </c>
      <c r="H322" s="67">
        <v>30</v>
      </c>
      <c r="I322" s="67">
        <v>6300</v>
      </c>
      <c r="J322" s="68">
        <v>123456789</v>
      </c>
      <c r="K322" s="69" t="s">
        <v>887</v>
      </c>
    </row>
    <row r="323" spans="2:11" ht="20.100000000000001" customHeight="1" x14ac:dyDescent="0.3">
      <c r="B323" s="62">
        <v>45250</v>
      </c>
      <c r="C323" s="63" t="s">
        <v>1208</v>
      </c>
      <c r="D323" s="64">
        <v>123457109</v>
      </c>
      <c r="E323" s="65" t="s">
        <v>370</v>
      </c>
      <c r="F323" s="53" t="s">
        <v>868</v>
      </c>
      <c r="G323" s="66">
        <v>262</v>
      </c>
      <c r="H323" s="67">
        <v>26</v>
      </c>
      <c r="I323" s="67">
        <v>6812</v>
      </c>
      <c r="J323" s="68">
        <v>123456789</v>
      </c>
      <c r="K323" s="69" t="s">
        <v>887</v>
      </c>
    </row>
    <row r="324" spans="2:11" ht="20.100000000000001" customHeight="1" x14ac:dyDescent="0.3">
      <c r="B324" s="62">
        <v>45251</v>
      </c>
      <c r="C324" s="63" t="s">
        <v>1209</v>
      </c>
      <c r="D324" s="64">
        <v>123457110</v>
      </c>
      <c r="E324" s="70" t="s">
        <v>371</v>
      </c>
      <c r="F324" s="53" t="s">
        <v>868</v>
      </c>
      <c r="G324" s="66">
        <v>268</v>
      </c>
      <c r="H324" s="67">
        <v>21</v>
      </c>
      <c r="I324" s="67">
        <v>5628</v>
      </c>
      <c r="J324" s="68">
        <v>123456789</v>
      </c>
      <c r="K324" s="69" t="s">
        <v>889</v>
      </c>
    </row>
    <row r="325" spans="2:11" ht="20.100000000000001" customHeight="1" x14ac:dyDescent="0.3">
      <c r="B325" s="62">
        <v>45252</v>
      </c>
      <c r="C325" s="63" t="s">
        <v>1210</v>
      </c>
      <c r="D325" s="64">
        <v>123457111</v>
      </c>
      <c r="E325" s="65" t="s">
        <v>372</v>
      </c>
      <c r="F325" s="53" t="s">
        <v>868</v>
      </c>
      <c r="G325" s="66">
        <v>286</v>
      </c>
      <c r="H325" s="67">
        <v>29</v>
      </c>
      <c r="I325" s="67">
        <v>8294</v>
      </c>
      <c r="J325" s="68">
        <v>123456789</v>
      </c>
      <c r="K325" s="69" t="s">
        <v>887</v>
      </c>
    </row>
    <row r="326" spans="2:11" ht="20.100000000000001" customHeight="1" x14ac:dyDescent="0.3">
      <c r="B326" s="62">
        <v>45253</v>
      </c>
      <c r="C326" s="63" t="s">
        <v>1211</v>
      </c>
      <c r="D326" s="64">
        <v>123457112</v>
      </c>
      <c r="E326" s="70" t="s">
        <v>373</v>
      </c>
      <c r="F326" s="53" t="s">
        <v>868</v>
      </c>
      <c r="G326" s="66">
        <v>233</v>
      </c>
      <c r="H326" s="67">
        <v>30</v>
      </c>
      <c r="I326" s="67">
        <v>6990</v>
      </c>
      <c r="J326" s="68">
        <v>123456789</v>
      </c>
      <c r="K326" s="69" t="s">
        <v>887</v>
      </c>
    </row>
    <row r="327" spans="2:11" ht="20.100000000000001" customHeight="1" x14ac:dyDescent="0.3">
      <c r="B327" s="62">
        <v>45254</v>
      </c>
      <c r="C327" s="63" t="s">
        <v>1212</v>
      </c>
      <c r="D327" s="64">
        <v>123457113</v>
      </c>
      <c r="E327" s="65" t="s">
        <v>374</v>
      </c>
      <c r="F327" s="53" t="s">
        <v>868</v>
      </c>
      <c r="G327" s="66">
        <v>288</v>
      </c>
      <c r="H327" s="67">
        <v>25</v>
      </c>
      <c r="I327" s="67">
        <v>7200</v>
      </c>
      <c r="J327" s="68">
        <v>123456789</v>
      </c>
      <c r="K327" s="69" t="s">
        <v>887</v>
      </c>
    </row>
    <row r="328" spans="2:11" ht="20.100000000000001" customHeight="1" x14ac:dyDescent="0.3">
      <c r="B328" s="62">
        <v>45255</v>
      </c>
      <c r="C328" s="63" t="s">
        <v>1213</v>
      </c>
      <c r="D328" s="64">
        <v>123457114</v>
      </c>
      <c r="E328" s="70" t="s">
        <v>375</v>
      </c>
      <c r="F328" s="53" t="s">
        <v>868</v>
      </c>
      <c r="G328" s="66">
        <v>221</v>
      </c>
      <c r="H328" s="67">
        <v>30</v>
      </c>
      <c r="I328" s="67">
        <v>6630</v>
      </c>
      <c r="J328" s="68">
        <v>123456789</v>
      </c>
      <c r="K328" s="69" t="s">
        <v>887</v>
      </c>
    </row>
    <row r="329" spans="2:11" ht="20.100000000000001" customHeight="1" x14ac:dyDescent="0.3">
      <c r="B329" s="62">
        <v>45256</v>
      </c>
      <c r="C329" s="63" t="s">
        <v>1214</v>
      </c>
      <c r="D329" s="64">
        <v>123457115</v>
      </c>
      <c r="E329" s="65" t="s">
        <v>376</v>
      </c>
      <c r="F329" s="53" t="s">
        <v>868</v>
      </c>
      <c r="G329" s="66">
        <v>208</v>
      </c>
      <c r="H329" s="67">
        <v>24</v>
      </c>
      <c r="I329" s="67">
        <v>4992</v>
      </c>
      <c r="J329" s="68">
        <v>123456789</v>
      </c>
      <c r="K329" s="69" t="s">
        <v>887</v>
      </c>
    </row>
    <row r="330" spans="2:11" ht="20.100000000000001" customHeight="1" x14ac:dyDescent="0.3">
      <c r="B330" s="62">
        <v>45257</v>
      </c>
      <c r="C330" s="63" t="s">
        <v>1215</v>
      </c>
      <c r="D330" s="64">
        <v>123457116</v>
      </c>
      <c r="E330" s="70" t="s">
        <v>377</v>
      </c>
      <c r="F330" s="111" t="s">
        <v>869</v>
      </c>
      <c r="G330" s="66">
        <v>246</v>
      </c>
      <c r="H330" s="67">
        <v>29</v>
      </c>
      <c r="I330" s="67">
        <v>7134</v>
      </c>
      <c r="J330" s="68">
        <v>123456789</v>
      </c>
      <c r="K330" s="69" t="s">
        <v>887</v>
      </c>
    </row>
    <row r="331" spans="2:11" ht="20.100000000000001" customHeight="1" x14ac:dyDescent="0.3">
      <c r="B331" s="62">
        <v>45258</v>
      </c>
      <c r="C331" s="63" t="s">
        <v>1216</v>
      </c>
      <c r="D331" s="64">
        <v>123457117</v>
      </c>
      <c r="E331" s="65" t="s">
        <v>378</v>
      </c>
      <c r="F331" s="53" t="s">
        <v>869</v>
      </c>
      <c r="G331" s="66">
        <v>212</v>
      </c>
      <c r="H331" s="67">
        <v>29</v>
      </c>
      <c r="I331" s="67">
        <v>6148</v>
      </c>
      <c r="J331" s="68">
        <v>123456789</v>
      </c>
      <c r="K331" s="69" t="s">
        <v>889</v>
      </c>
    </row>
    <row r="332" spans="2:11" ht="20.100000000000001" customHeight="1" x14ac:dyDescent="0.3">
      <c r="B332" s="62">
        <v>45259</v>
      </c>
      <c r="C332" s="63" t="s">
        <v>1217</v>
      </c>
      <c r="D332" s="64">
        <v>123457118</v>
      </c>
      <c r="E332" s="70" t="s">
        <v>379</v>
      </c>
      <c r="F332" s="111" t="s">
        <v>868</v>
      </c>
      <c r="G332" s="66">
        <v>279</v>
      </c>
      <c r="H332" s="67">
        <v>24</v>
      </c>
      <c r="I332" s="67">
        <v>6696</v>
      </c>
      <c r="J332" s="68">
        <v>123456789</v>
      </c>
      <c r="K332" s="69" t="s">
        <v>887</v>
      </c>
    </row>
    <row r="333" spans="2:11" ht="20.100000000000001" customHeight="1" x14ac:dyDescent="0.3">
      <c r="B333" s="62">
        <v>45260</v>
      </c>
      <c r="C333" s="63" t="s">
        <v>1218</v>
      </c>
      <c r="D333" s="64">
        <v>123457119</v>
      </c>
      <c r="E333" s="65" t="s">
        <v>380</v>
      </c>
      <c r="F333" s="53" t="s">
        <v>869</v>
      </c>
      <c r="G333" s="66">
        <v>209</v>
      </c>
      <c r="H333" s="67">
        <v>27</v>
      </c>
      <c r="I333" s="67">
        <v>5643</v>
      </c>
      <c r="J333" s="68">
        <v>123456789</v>
      </c>
      <c r="K333" s="69" t="s">
        <v>889</v>
      </c>
    </row>
    <row r="334" spans="2:11" ht="20.100000000000001" customHeight="1" x14ac:dyDescent="0.3">
      <c r="B334" s="62">
        <v>45261</v>
      </c>
      <c r="C334" s="63" t="s">
        <v>1219</v>
      </c>
      <c r="D334" s="64">
        <v>123457120</v>
      </c>
      <c r="E334" s="70" t="s">
        <v>381</v>
      </c>
      <c r="F334" s="111" t="s">
        <v>868</v>
      </c>
      <c r="G334" s="66">
        <v>216</v>
      </c>
      <c r="H334" s="67">
        <v>30</v>
      </c>
      <c r="I334" s="67">
        <v>6480</v>
      </c>
      <c r="J334" s="68">
        <v>123456789</v>
      </c>
      <c r="K334" s="69" t="s">
        <v>887</v>
      </c>
    </row>
    <row r="335" spans="2:11" ht="20.100000000000001" customHeight="1" x14ac:dyDescent="0.3">
      <c r="B335" s="62">
        <v>45262</v>
      </c>
      <c r="C335" s="63" t="s">
        <v>1220</v>
      </c>
      <c r="D335" s="64">
        <v>123457121</v>
      </c>
      <c r="E335" s="65" t="s">
        <v>382</v>
      </c>
      <c r="F335" s="53" t="s">
        <v>869</v>
      </c>
      <c r="G335" s="66">
        <v>286</v>
      </c>
      <c r="H335" s="67">
        <v>29</v>
      </c>
      <c r="I335" s="67">
        <v>8294</v>
      </c>
      <c r="J335" s="68">
        <v>123456789</v>
      </c>
      <c r="K335" s="69" t="s">
        <v>887</v>
      </c>
    </row>
    <row r="336" spans="2:11" ht="20.100000000000001" customHeight="1" x14ac:dyDescent="0.3">
      <c r="B336" s="62">
        <v>45263</v>
      </c>
      <c r="C336" s="63" t="s">
        <v>1221</v>
      </c>
      <c r="D336" s="64">
        <v>123457122</v>
      </c>
      <c r="E336" s="70" t="s">
        <v>383</v>
      </c>
      <c r="F336" s="111" t="s">
        <v>868</v>
      </c>
      <c r="G336" s="66">
        <v>261</v>
      </c>
      <c r="H336" s="67">
        <v>25</v>
      </c>
      <c r="I336" s="67">
        <v>6525</v>
      </c>
      <c r="J336" s="68">
        <v>123456789</v>
      </c>
      <c r="K336" s="69" t="s">
        <v>887</v>
      </c>
    </row>
    <row r="337" spans="2:11" ht="20.100000000000001" customHeight="1" x14ac:dyDescent="0.3">
      <c r="B337" s="62">
        <v>45264</v>
      </c>
      <c r="C337" s="63" t="s">
        <v>1222</v>
      </c>
      <c r="D337" s="64">
        <v>123457123</v>
      </c>
      <c r="E337" s="65" t="s">
        <v>384</v>
      </c>
      <c r="F337" s="111" t="s">
        <v>868</v>
      </c>
      <c r="G337" s="66">
        <v>237</v>
      </c>
      <c r="H337" s="67">
        <v>29</v>
      </c>
      <c r="I337" s="67">
        <v>6873</v>
      </c>
      <c r="J337" s="68">
        <v>123456789</v>
      </c>
      <c r="K337" s="69" t="s">
        <v>889</v>
      </c>
    </row>
    <row r="338" spans="2:11" ht="20.100000000000001" customHeight="1" x14ac:dyDescent="0.3">
      <c r="B338" s="62">
        <v>45265</v>
      </c>
      <c r="C338" s="63" t="s">
        <v>1223</v>
      </c>
      <c r="D338" s="64">
        <v>123457124</v>
      </c>
      <c r="E338" s="70" t="s">
        <v>385</v>
      </c>
      <c r="F338" s="111" t="s">
        <v>868</v>
      </c>
      <c r="G338" s="66">
        <v>253</v>
      </c>
      <c r="H338" s="67">
        <v>31</v>
      </c>
      <c r="I338" s="67">
        <v>7843</v>
      </c>
      <c r="J338" s="68">
        <v>123456789</v>
      </c>
      <c r="K338" s="69" t="s">
        <v>889</v>
      </c>
    </row>
    <row r="339" spans="2:11" ht="20.100000000000001" customHeight="1" x14ac:dyDescent="0.3">
      <c r="B339" s="62">
        <v>45266</v>
      </c>
      <c r="C339" s="63" t="s">
        <v>1224</v>
      </c>
      <c r="D339" s="64">
        <v>123457125</v>
      </c>
      <c r="E339" s="65" t="s">
        <v>386</v>
      </c>
      <c r="F339" s="53" t="s">
        <v>869</v>
      </c>
      <c r="G339" s="66">
        <v>251</v>
      </c>
      <c r="H339" s="67">
        <v>26</v>
      </c>
      <c r="I339" s="67">
        <v>6526</v>
      </c>
      <c r="J339" s="68">
        <v>123456789</v>
      </c>
      <c r="K339" s="69" t="s">
        <v>887</v>
      </c>
    </row>
    <row r="340" spans="2:11" ht="20.100000000000001" customHeight="1" x14ac:dyDescent="0.3">
      <c r="B340" s="62">
        <v>45267</v>
      </c>
      <c r="C340" s="63" t="s">
        <v>1225</v>
      </c>
      <c r="D340" s="64">
        <v>123457126</v>
      </c>
      <c r="E340" s="70" t="s">
        <v>387</v>
      </c>
      <c r="F340" s="111" t="s">
        <v>868</v>
      </c>
      <c r="G340" s="66">
        <v>258</v>
      </c>
      <c r="H340" s="67">
        <v>24</v>
      </c>
      <c r="I340" s="67">
        <v>6192</v>
      </c>
      <c r="J340" s="68">
        <v>123456789</v>
      </c>
      <c r="K340" s="69" t="s">
        <v>889</v>
      </c>
    </row>
    <row r="341" spans="2:11" ht="20.100000000000001" customHeight="1" x14ac:dyDescent="0.3">
      <c r="B341" s="62">
        <v>45268</v>
      </c>
      <c r="C341" s="63" t="s">
        <v>1226</v>
      </c>
      <c r="D341" s="64">
        <v>123457127</v>
      </c>
      <c r="E341" s="65" t="s">
        <v>388</v>
      </c>
      <c r="F341" s="53" t="s">
        <v>869</v>
      </c>
      <c r="G341" s="66">
        <v>294</v>
      </c>
      <c r="H341" s="67">
        <v>31</v>
      </c>
      <c r="I341" s="67">
        <v>9114</v>
      </c>
      <c r="J341" s="68">
        <v>123456789</v>
      </c>
      <c r="K341" s="69" t="s">
        <v>887</v>
      </c>
    </row>
    <row r="342" spans="2:11" ht="20.100000000000001" customHeight="1" x14ac:dyDescent="0.3">
      <c r="B342" s="62">
        <v>45269</v>
      </c>
      <c r="C342" s="63" t="s">
        <v>1227</v>
      </c>
      <c r="D342" s="64">
        <v>123457128</v>
      </c>
      <c r="E342" s="70" t="s">
        <v>389</v>
      </c>
      <c r="F342" s="111" t="s">
        <v>868</v>
      </c>
      <c r="G342" s="66">
        <v>220</v>
      </c>
      <c r="H342" s="67">
        <v>25</v>
      </c>
      <c r="I342" s="67">
        <v>5500</v>
      </c>
      <c r="J342" s="68">
        <v>123456789</v>
      </c>
      <c r="K342" s="69" t="s">
        <v>887</v>
      </c>
    </row>
    <row r="343" spans="2:11" ht="20.100000000000001" customHeight="1" x14ac:dyDescent="0.3">
      <c r="B343" s="62">
        <v>45270</v>
      </c>
      <c r="C343" s="63" t="s">
        <v>1228</v>
      </c>
      <c r="D343" s="64">
        <v>123457129</v>
      </c>
      <c r="E343" s="65" t="s">
        <v>390</v>
      </c>
      <c r="F343" s="111" t="s">
        <v>868</v>
      </c>
      <c r="G343" s="66">
        <v>265</v>
      </c>
      <c r="H343" s="67">
        <v>31</v>
      </c>
      <c r="I343" s="67">
        <v>8215</v>
      </c>
      <c r="J343" s="68">
        <v>123456789</v>
      </c>
      <c r="K343" s="69" t="s">
        <v>887</v>
      </c>
    </row>
    <row r="344" spans="2:11" ht="20.100000000000001" customHeight="1" x14ac:dyDescent="0.3">
      <c r="B344" s="62">
        <v>45271</v>
      </c>
      <c r="C344" s="63" t="s">
        <v>1229</v>
      </c>
      <c r="D344" s="64">
        <v>123457130</v>
      </c>
      <c r="E344" s="70" t="s">
        <v>391</v>
      </c>
      <c r="F344" s="111" t="s">
        <v>868</v>
      </c>
      <c r="G344" s="66">
        <v>203</v>
      </c>
      <c r="H344" s="67">
        <v>28</v>
      </c>
      <c r="I344" s="67">
        <v>5684</v>
      </c>
      <c r="J344" s="68">
        <v>123456789</v>
      </c>
      <c r="K344" s="69" t="s">
        <v>887</v>
      </c>
    </row>
    <row r="345" spans="2:11" ht="20.100000000000001" customHeight="1" x14ac:dyDescent="0.3">
      <c r="B345" s="62">
        <v>45272</v>
      </c>
      <c r="C345" s="63" t="s">
        <v>1230</v>
      </c>
      <c r="D345" s="64">
        <v>123457131</v>
      </c>
      <c r="E345" s="65" t="s">
        <v>392</v>
      </c>
      <c r="F345" s="111" t="s">
        <v>868</v>
      </c>
      <c r="G345" s="66">
        <v>207</v>
      </c>
      <c r="H345" s="67">
        <v>24</v>
      </c>
      <c r="I345" s="67">
        <v>4968</v>
      </c>
      <c r="J345" s="68">
        <v>123456789</v>
      </c>
      <c r="K345" s="69" t="s">
        <v>887</v>
      </c>
    </row>
    <row r="346" spans="2:11" ht="20.100000000000001" customHeight="1" x14ac:dyDescent="0.3">
      <c r="B346" s="62">
        <v>45273</v>
      </c>
      <c r="C346" s="63" t="s">
        <v>1231</v>
      </c>
      <c r="D346" s="64">
        <v>123457132</v>
      </c>
      <c r="E346" s="70" t="s">
        <v>393</v>
      </c>
      <c r="F346" s="111" t="s">
        <v>868</v>
      </c>
      <c r="G346" s="66">
        <v>299</v>
      </c>
      <c r="H346" s="67">
        <v>23</v>
      </c>
      <c r="I346" s="67">
        <v>6877</v>
      </c>
      <c r="J346" s="68">
        <v>123456789</v>
      </c>
      <c r="K346" s="69" t="s">
        <v>887</v>
      </c>
    </row>
    <row r="347" spans="2:11" ht="20.100000000000001" customHeight="1" x14ac:dyDescent="0.3">
      <c r="B347" s="62">
        <v>45274</v>
      </c>
      <c r="C347" s="63" t="s">
        <v>1232</v>
      </c>
      <c r="D347" s="64">
        <v>123457133</v>
      </c>
      <c r="E347" s="65" t="s">
        <v>394</v>
      </c>
      <c r="F347" s="111" t="s">
        <v>868</v>
      </c>
      <c r="G347" s="66">
        <v>268</v>
      </c>
      <c r="H347" s="67">
        <v>30</v>
      </c>
      <c r="I347" s="67">
        <v>8040</v>
      </c>
      <c r="J347" s="68">
        <v>123456789</v>
      </c>
      <c r="K347" s="69" t="s">
        <v>887</v>
      </c>
    </row>
    <row r="348" spans="2:11" ht="20.100000000000001" customHeight="1" x14ac:dyDescent="0.3">
      <c r="B348" s="62">
        <v>45275</v>
      </c>
      <c r="C348" s="63" t="s">
        <v>1233</v>
      </c>
      <c r="D348" s="64">
        <v>123457134</v>
      </c>
      <c r="E348" s="70" t="s">
        <v>395</v>
      </c>
      <c r="F348" s="111" t="s">
        <v>868</v>
      </c>
      <c r="G348" s="66">
        <v>223</v>
      </c>
      <c r="H348" s="67">
        <v>25</v>
      </c>
      <c r="I348" s="67">
        <v>5575</v>
      </c>
      <c r="J348" s="68">
        <v>123456789</v>
      </c>
      <c r="K348" s="69" t="s">
        <v>889</v>
      </c>
    </row>
    <row r="349" spans="2:11" ht="20.100000000000001" customHeight="1" x14ac:dyDescent="0.3">
      <c r="B349" s="62">
        <v>45276</v>
      </c>
      <c r="C349" s="63" t="s">
        <v>1234</v>
      </c>
      <c r="D349" s="64">
        <v>123457135</v>
      </c>
      <c r="E349" s="65" t="s">
        <v>396</v>
      </c>
      <c r="F349" s="53" t="s">
        <v>869</v>
      </c>
      <c r="G349" s="66">
        <v>269</v>
      </c>
      <c r="H349" s="67">
        <v>26</v>
      </c>
      <c r="I349" s="67">
        <v>6994</v>
      </c>
      <c r="J349" s="68">
        <v>123456789</v>
      </c>
      <c r="K349" s="69" t="s">
        <v>887</v>
      </c>
    </row>
    <row r="350" spans="2:11" ht="20.100000000000001" customHeight="1" x14ac:dyDescent="0.3">
      <c r="B350" s="62">
        <v>45277</v>
      </c>
      <c r="C350" s="63" t="s">
        <v>1235</v>
      </c>
      <c r="D350" s="64">
        <v>123457136</v>
      </c>
      <c r="E350" s="70" t="s">
        <v>397</v>
      </c>
      <c r="F350" s="111" t="s">
        <v>869</v>
      </c>
      <c r="G350" s="66">
        <v>253</v>
      </c>
      <c r="H350" s="67">
        <v>30</v>
      </c>
      <c r="I350" s="67">
        <v>7590</v>
      </c>
      <c r="J350" s="68">
        <v>123456789</v>
      </c>
      <c r="K350" s="69" t="s">
        <v>887</v>
      </c>
    </row>
    <row r="351" spans="2:11" ht="20.100000000000001" customHeight="1" x14ac:dyDescent="0.3">
      <c r="B351" s="62">
        <v>45278</v>
      </c>
      <c r="C351" s="63" t="s">
        <v>1236</v>
      </c>
      <c r="D351" s="64">
        <v>123457137</v>
      </c>
      <c r="E351" s="65" t="s">
        <v>398</v>
      </c>
      <c r="F351" s="53" t="s">
        <v>868</v>
      </c>
      <c r="G351" s="66">
        <v>206</v>
      </c>
      <c r="H351" s="67">
        <v>22</v>
      </c>
      <c r="I351" s="67">
        <v>4532</v>
      </c>
      <c r="J351" s="68">
        <v>123456789</v>
      </c>
      <c r="K351" s="69" t="s">
        <v>889</v>
      </c>
    </row>
    <row r="352" spans="2:11" ht="20.100000000000001" customHeight="1" x14ac:dyDescent="0.3">
      <c r="B352" s="62">
        <v>45279</v>
      </c>
      <c r="C352" s="63" t="s">
        <v>1237</v>
      </c>
      <c r="D352" s="64">
        <v>123457138</v>
      </c>
      <c r="E352" s="70" t="s">
        <v>399</v>
      </c>
      <c r="F352" s="53" t="s">
        <v>868</v>
      </c>
      <c r="G352" s="66">
        <v>225</v>
      </c>
      <c r="H352" s="67">
        <v>31</v>
      </c>
      <c r="I352" s="67">
        <v>6975</v>
      </c>
      <c r="J352" s="68">
        <v>123456789</v>
      </c>
      <c r="K352" s="69" t="s">
        <v>889</v>
      </c>
    </row>
    <row r="353" spans="2:11" ht="20.100000000000001" customHeight="1" x14ac:dyDescent="0.3">
      <c r="B353" s="62">
        <v>45280</v>
      </c>
      <c r="C353" s="63" t="s">
        <v>1238</v>
      </c>
      <c r="D353" s="64">
        <v>123457139</v>
      </c>
      <c r="E353" s="65" t="s">
        <v>400</v>
      </c>
      <c r="F353" s="53" t="s">
        <v>868</v>
      </c>
      <c r="G353" s="66">
        <v>260</v>
      </c>
      <c r="H353" s="67">
        <v>30</v>
      </c>
      <c r="I353" s="67">
        <v>7800</v>
      </c>
      <c r="J353" s="68">
        <v>123456789</v>
      </c>
      <c r="K353" s="69" t="s">
        <v>889</v>
      </c>
    </row>
    <row r="354" spans="2:11" ht="20.100000000000001" customHeight="1" x14ac:dyDescent="0.3">
      <c r="B354" s="62">
        <v>45281</v>
      </c>
      <c r="C354" s="63" t="s">
        <v>1239</v>
      </c>
      <c r="D354" s="64">
        <v>123457140</v>
      </c>
      <c r="E354" s="70" t="s">
        <v>401</v>
      </c>
      <c r="F354" s="53" t="s">
        <v>868</v>
      </c>
      <c r="G354" s="66">
        <v>224</v>
      </c>
      <c r="H354" s="67">
        <v>29</v>
      </c>
      <c r="I354" s="67">
        <v>6496</v>
      </c>
      <c r="J354" s="68">
        <v>123456789</v>
      </c>
      <c r="K354" s="69" t="s">
        <v>889</v>
      </c>
    </row>
    <row r="355" spans="2:11" ht="20.100000000000001" customHeight="1" x14ac:dyDescent="0.3">
      <c r="B355" s="62">
        <v>45282</v>
      </c>
      <c r="C355" s="63" t="s">
        <v>1240</v>
      </c>
      <c r="D355" s="64">
        <v>123457141</v>
      </c>
      <c r="E355" s="65" t="s">
        <v>402</v>
      </c>
      <c r="F355" s="53" t="s">
        <v>869</v>
      </c>
      <c r="G355" s="66">
        <v>224</v>
      </c>
      <c r="H355" s="67">
        <v>24</v>
      </c>
      <c r="I355" s="67">
        <v>5376</v>
      </c>
      <c r="J355" s="68">
        <v>123456789</v>
      </c>
      <c r="K355" s="69" t="s">
        <v>887</v>
      </c>
    </row>
    <row r="356" spans="2:11" ht="20.100000000000001" customHeight="1" x14ac:dyDescent="0.3">
      <c r="B356" s="62">
        <v>45283</v>
      </c>
      <c r="C356" s="63" t="s">
        <v>1241</v>
      </c>
      <c r="D356" s="64">
        <v>123457142</v>
      </c>
      <c r="E356" s="70" t="s">
        <v>403</v>
      </c>
      <c r="F356" s="111" t="s">
        <v>868</v>
      </c>
      <c r="G356" s="66">
        <v>205</v>
      </c>
      <c r="H356" s="67">
        <v>26</v>
      </c>
      <c r="I356" s="67">
        <v>5330</v>
      </c>
      <c r="J356" s="68">
        <v>123456789</v>
      </c>
      <c r="K356" s="69" t="s">
        <v>887</v>
      </c>
    </row>
    <row r="357" spans="2:11" ht="20.100000000000001" customHeight="1" x14ac:dyDescent="0.3">
      <c r="B357" s="62">
        <v>45284</v>
      </c>
      <c r="C357" s="63" t="s">
        <v>1242</v>
      </c>
      <c r="D357" s="64">
        <v>123457143</v>
      </c>
      <c r="E357" s="65" t="s">
        <v>404</v>
      </c>
      <c r="F357" s="111" t="s">
        <v>868</v>
      </c>
      <c r="G357" s="66">
        <v>278</v>
      </c>
      <c r="H357" s="67">
        <v>21</v>
      </c>
      <c r="I357" s="67">
        <v>5838</v>
      </c>
      <c r="J357" s="68">
        <v>123456789</v>
      </c>
      <c r="K357" s="69" t="s">
        <v>887</v>
      </c>
    </row>
    <row r="358" spans="2:11" ht="20.100000000000001" customHeight="1" x14ac:dyDescent="0.3">
      <c r="B358" s="62">
        <v>45285</v>
      </c>
      <c r="C358" s="63" t="s">
        <v>1243</v>
      </c>
      <c r="D358" s="64">
        <v>123457144</v>
      </c>
      <c r="E358" s="70" t="s">
        <v>405</v>
      </c>
      <c r="F358" s="111" t="s">
        <v>869</v>
      </c>
      <c r="G358" s="66">
        <v>261</v>
      </c>
      <c r="H358" s="67">
        <v>25</v>
      </c>
      <c r="I358" s="67">
        <v>6525</v>
      </c>
      <c r="J358" s="68">
        <v>123456789</v>
      </c>
      <c r="K358" s="69" t="s">
        <v>889</v>
      </c>
    </row>
    <row r="359" spans="2:11" ht="20.100000000000001" customHeight="1" x14ac:dyDescent="0.3">
      <c r="B359" s="62">
        <v>45286</v>
      </c>
      <c r="C359" s="63" t="s">
        <v>1244</v>
      </c>
      <c r="D359" s="64">
        <v>123457145</v>
      </c>
      <c r="E359" s="65" t="s">
        <v>406</v>
      </c>
      <c r="F359" s="53" t="s">
        <v>869</v>
      </c>
      <c r="G359" s="66">
        <v>235</v>
      </c>
      <c r="H359" s="67">
        <v>27</v>
      </c>
      <c r="I359" s="67">
        <v>6345</v>
      </c>
      <c r="J359" s="68">
        <v>123456789</v>
      </c>
      <c r="K359" s="69" t="s">
        <v>887</v>
      </c>
    </row>
    <row r="360" spans="2:11" ht="20.100000000000001" customHeight="1" x14ac:dyDescent="0.3">
      <c r="B360" s="62">
        <v>45287</v>
      </c>
      <c r="C360" s="63" t="s">
        <v>1245</v>
      </c>
      <c r="D360" s="64">
        <v>123457146</v>
      </c>
      <c r="E360" s="70" t="s">
        <v>407</v>
      </c>
      <c r="F360" s="111" t="s">
        <v>868</v>
      </c>
      <c r="G360" s="66">
        <v>300</v>
      </c>
      <c r="H360" s="67">
        <v>26</v>
      </c>
      <c r="I360" s="67">
        <v>7800</v>
      </c>
      <c r="J360" s="68">
        <v>123456789</v>
      </c>
      <c r="K360" s="69" t="s">
        <v>887</v>
      </c>
    </row>
    <row r="361" spans="2:11" ht="20.100000000000001" customHeight="1" x14ac:dyDescent="0.3">
      <c r="B361" s="62">
        <v>45288</v>
      </c>
      <c r="C361" s="63" t="s">
        <v>1246</v>
      </c>
      <c r="D361" s="64">
        <v>123457147</v>
      </c>
      <c r="E361" s="65" t="s">
        <v>408</v>
      </c>
      <c r="F361" s="111" t="s">
        <v>868</v>
      </c>
      <c r="G361" s="66">
        <v>208</v>
      </c>
      <c r="H361" s="67">
        <v>22</v>
      </c>
      <c r="I361" s="67">
        <v>4576</v>
      </c>
      <c r="J361" s="68">
        <v>123456789</v>
      </c>
      <c r="K361" s="69" t="s">
        <v>887</v>
      </c>
    </row>
    <row r="362" spans="2:11" ht="20.100000000000001" customHeight="1" x14ac:dyDescent="0.3">
      <c r="B362" s="62">
        <v>45289</v>
      </c>
      <c r="C362" s="63" t="s">
        <v>1247</v>
      </c>
      <c r="D362" s="64">
        <v>123457148</v>
      </c>
      <c r="E362" s="70" t="s">
        <v>409</v>
      </c>
      <c r="F362" s="111" t="s">
        <v>868</v>
      </c>
      <c r="G362" s="66">
        <v>295</v>
      </c>
      <c r="H362" s="67">
        <v>30</v>
      </c>
      <c r="I362" s="67">
        <v>8850</v>
      </c>
      <c r="J362" s="68">
        <v>123456789</v>
      </c>
      <c r="K362" s="69" t="s">
        <v>887</v>
      </c>
    </row>
    <row r="363" spans="2:11" ht="20.100000000000001" customHeight="1" x14ac:dyDescent="0.3">
      <c r="B363" s="62">
        <v>45290</v>
      </c>
      <c r="C363" s="63" t="s">
        <v>1248</v>
      </c>
      <c r="D363" s="64">
        <v>123457149</v>
      </c>
      <c r="E363" s="65" t="s">
        <v>410</v>
      </c>
      <c r="F363" s="111" t="s">
        <v>868</v>
      </c>
      <c r="G363" s="66">
        <v>203</v>
      </c>
      <c r="H363" s="67">
        <v>29</v>
      </c>
      <c r="I363" s="67">
        <v>5887</v>
      </c>
      <c r="J363" s="68">
        <v>123456789</v>
      </c>
      <c r="K363" s="69" t="s">
        <v>887</v>
      </c>
    </row>
    <row r="364" spans="2:11" ht="20.100000000000001" customHeight="1" x14ac:dyDescent="0.3">
      <c r="B364" s="62">
        <v>45291</v>
      </c>
      <c r="C364" s="63" t="s">
        <v>1249</v>
      </c>
      <c r="D364" s="64">
        <v>123457150</v>
      </c>
      <c r="E364" s="70" t="s">
        <v>411</v>
      </c>
      <c r="F364" s="111" t="s">
        <v>868</v>
      </c>
      <c r="G364" s="66">
        <v>203</v>
      </c>
      <c r="H364" s="67">
        <v>28</v>
      </c>
      <c r="I364" s="67">
        <v>5684</v>
      </c>
      <c r="J364" s="68">
        <v>123456789</v>
      </c>
      <c r="K364" s="69" t="s">
        <v>889</v>
      </c>
    </row>
    <row r="365" spans="2:11" ht="20.100000000000001" customHeight="1" x14ac:dyDescent="0.3">
      <c r="B365" s="62">
        <v>45292</v>
      </c>
      <c r="C365" s="63" t="s">
        <v>1250</v>
      </c>
      <c r="D365" s="64">
        <v>123457151</v>
      </c>
      <c r="E365" s="65" t="s">
        <v>412</v>
      </c>
      <c r="F365" s="53" t="s">
        <v>869</v>
      </c>
      <c r="G365" s="66">
        <v>914</v>
      </c>
      <c r="H365" s="67">
        <v>21</v>
      </c>
      <c r="I365" s="67">
        <v>19194</v>
      </c>
      <c r="J365" s="68">
        <v>123456789</v>
      </c>
      <c r="K365" s="69" t="s">
        <v>887</v>
      </c>
    </row>
    <row r="366" spans="2:11" ht="20.100000000000001" customHeight="1" x14ac:dyDescent="0.3">
      <c r="B366" s="62">
        <v>45293</v>
      </c>
      <c r="C366" s="63" t="s">
        <v>1251</v>
      </c>
      <c r="D366" s="64">
        <v>123457152</v>
      </c>
      <c r="E366" s="70" t="s">
        <v>413</v>
      </c>
      <c r="F366" s="111" t="s">
        <v>868</v>
      </c>
      <c r="G366" s="66">
        <v>592</v>
      </c>
      <c r="H366" s="67">
        <v>27</v>
      </c>
      <c r="I366" s="67">
        <v>15984</v>
      </c>
      <c r="J366" s="68">
        <v>123456789</v>
      </c>
      <c r="K366" s="69" t="s">
        <v>887</v>
      </c>
    </row>
    <row r="367" spans="2:11" ht="20.100000000000001" customHeight="1" x14ac:dyDescent="0.3">
      <c r="B367" s="62">
        <v>45294</v>
      </c>
      <c r="C367" s="63" t="s">
        <v>1252</v>
      </c>
      <c r="D367" s="64">
        <v>123457153</v>
      </c>
      <c r="E367" s="65" t="s">
        <v>414</v>
      </c>
      <c r="F367" s="111" t="s">
        <v>868</v>
      </c>
      <c r="G367" s="66">
        <v>913</v>
      </c>
      <c r="H367" s="67">
        <v>28</v>
      </c>
      <c r="I367" s="67">
        <v>25564</v>
      </c>
      <c r="J367" s="68">
        <v>123456789</v>
      </c>
      <c r="K367" s="69" t="s">
        <v>887</v>
      </c>
    </row>
    <row r="368" spans="2:11" ht="20.100000000000001" customHeight="1" x14ac:dyDescent="0.3">
      <c r="B368" s="62">
        <v>45295</v>
      </c>
      <c r="C368" s="63" t="s">
        <v>1253</v>
      </c>
      <c r="D368" s="64">
        <v>123457154</v>
      </c>
      <c r="E368" s="70" t="s">
        <v>415</v>
      </c>
      <c r="F368" s="111" t="s">
        <v>868</v>
      </c>
      <c r="G368" s="66">
        <v>682</v>
      </c>
      <c r="H368" s="67">
        <v>29</v>
      </c>
      <c r="I368" s="67">
        <v>19778</v>
      </c>
      <c r="J368" s="68">
        <v>123456789</v>
      </c>
      <c r="K368" s="69" t="s">
        <v>887</v>
      </c>
    </row>
    <row r="369" spans="2:11" ht="20.100000000000001" customHeight="1" x14ac:dyDescent="0.3">
      <c r="B369" s="62">
        <v>45296</v>
      </c>
      <c r="C369" s="63" t="s">
        <v>1254</v>
      </c>
      <c r="D369" s="64">
        <v>123457155</v>
      </c>
      <c r="E369" s="65" t="s">
        <v>416</v>
      </c>
      <c r="F369" s="53" t="s">
        <v>869</v>
      </c>
      <c r="G369" s="66">
        <v>956</v>
      </c>
      <c r="H369" s="67">
        <v>28</v>
      </c>
      <c r="I369" s="67">
        <v>26768</v>
      </c>
      <c r="J369" s="68">
        <v>123456789</v>
      </c>
      <c r="K369" s="69" t="s">
        <v>889</v>
      </c>
    </row>
    <row r="370" spans="2:11" ht="20.100000000000001" customHeight="1" x14ac:dyDescent="0.3">
      <c r="B370" s="62">
        <v>45297</v>
      </c>
      <c r="C370" s="63" t="s">
        <v>1255</v>
      </c>
      <c r="D370" s="64">
        <v>123457156</v>
      </c>
      <c r="E370" s="70" t="s">
        <v>417</v>
      </c>
      <c r="F370" s="111" t="s">
        <v>868</v>
      </c>
      <c r="G370" s="66">
        <v>540</v>
      </c>
      <c r="H370" s="67">
        <v>30</v>
      </c>
      <c r="I370" s="67">
        <v>16200</v>
      </c>
      <c r="J370" s="68">
        <v>123456789</v>
      </c>
      <c r="K370" s="69" t="s">
        <v>889</v>
      </c>
    </row>
    <row r="371" spans="2:11" ht="20.100000000000001" customHeight="1" x14ac:dyDescent="0.3">
      <c r="B371" s="62">
        <v>45298</v>
      </c>
      <c r="C371" s="63" t="s">
        <v>1256</v>
      </c>
      <c r="D371" s="64">
        <v>123457157</v>
      </c>
      <c r="E371" s="65" t="s">
        <v>418</v>
      </c>
      <c r="F371" s="53" t="s">
        <v>869</v>
      </c>
      <c r="G371" s="66">
        <v>852</v>
      </c>
      <c r="H371" s="67">
        <v>21</v>
      </c>
      <c r="I371" s="67">
        <v>17892</v>
      </c>
      <c r="J371" s="68">
        <v>123456789</v>
      </c>
      <c r="K371" s="69" t="s">
        <v>889</v>
      </c>
    </row>
    <row r="372" spans="2:11" ht="20.100000000000001" customHeight="1" x14ac:dyDescent="0.3">
      <c r="B372" s="62">
        <v>45299</v>
      </c>
      <c r="C372" s="63" t="s">
        <v>1257</v>
      </c>
      <c r="D372" s="64">
        <v>123457158</v>
      </c>
      <c r="E372" s="70" t="s">
        <v>419</v>
      </c>
      <c r="F372" s="111" t="s">
        <v>869</v>
      </c>
      <c r="G372" s="66">
        <v>673</v>
      </c>
      <c r="H372" s="67">
        <v>21</v>
      </c>
      <c r="I372" s="67">
        <v>14133</v>
      </c>
      <c r="J372" s="68">
        <v>123456789</v>
      </c>
      <c r="K372" s="69" t="s">
        <v>887</v>
      </c>
    </row>
    <row r="373" spans="2:11" ht="20.100000000000001" customHeight="1" x14ac:dyDescent="0.3">
      <c r="B373" s="62">
        <v>45300</v>
      </c>
      <c r="C373" s="63" t="s">
        <v>1258</v>
      </c>
      <c r="D373" s="64">
        <v>123457159</v>
      </c>
      <c r="E373" s="65" t="s">
        <v>420</v>
      </c>
      <c r="F373" s="53" t="s">
        <v>869</v>
      </c>
      <c r="G373" s="66">
        <v>807</v>
      </c>
      <c r="H373" s="67">
        <v>25</v>
      </c>
      <c r="I373" s="67">
        <v>20175</v>
      </c>
      <c r="J373" s="68">
        <v>123456789</v>
      </c>
      <c r="K373" s="69" t="s">
        <v>887</v>
      </c>
    </row>
    <row r="374" spans="2:11" ht="20.100000000000001" customHeight="1" x14ac:dyDescent="0.3">
      <c r="B374" s="62">
        <v>45301</v>
      </c>
      <c r="C374" s="63" t="s">
        <v>1259</v>
      </c>
      <c r="D374" s="64">
        <v>123457160</v>
      </c>
      <c r="E374" s="70" t="s">
        <v>421</v>
      </c>
      <c r="F374" s="111" t="s">
        <v>868</v>
      </c>
      <c r="G374" s="66">
        <v>643</v>
      </c>
      <c r="H374" s="67">
        <v>22</v>
      </c>
      <c r="I374" s="67">
        <v>14146</v>
      </c>
      <c r="J374" s="68">
        <v>123456789</v>
      </c>
      <c r="K374" s="69" t="s">
        <v>887</v>
      </c>
    </row>
    <row r="375" spans="2:11" ht="20.100000000000001" customHeight="1" x14ac:dyDescent="0.3">
      <c r="B375" s="62">
        <v>45302</v>
      </c>
      <c r="C375" s="63" t="s">
        <v>1260</v>
      </c>
      <c r="D375" s="64">
        <v>123457161</v>
      </c>
      <c r="E375" s="65" t="s">
        <v>422</v>
      </c>
      <c r="F375" s="53" t="s">
        <v>868</v>
      </c>
      <c r="G375" s="66">
        <v>943</v>
      </c>
      <c r="H375" s="67">
        <v>28</v>
      </c>
      <c r="I375" s="67">
        <v>26404</v>
      </c>
      <c r="J375" s="68">
        <v>123456789</v>
      </c>
      <c r="K375" s="69" t="s">
        <v>889</v>
      </c>
    </row>
    <row r="376" spans="2:11" ht="20.100000000000001" customHeight="1" x14ac:dyDescent="0.3">
      <c r="B376" s="62">
        <v>45303</v>
      </c>
      <c r="C376" s="63" t="s">
        <v>1261</v>
      </c>
      <c r="D376" s="64">
        <v>123457162</v>
      </c>
      <c r="E376" s="70" t="s">
        <v>423</v>
      </c>
      <c r="F376" s="111" t="s">
        <v>869</v>
      </c>
      <c r="G376" s="66">
        <v>864</v>
      </c>
      <c r="H376" s="67">
        <v>21</v>
      </c>
      <c r="I376" s="67">
        <v>18144</v>
      </c>
      <c r="J376" s="68">
        <v>123456789</v>
      </c>
      <c r="K376" s="69" t="s">
        <v>887</v>
      </c>
    </row>
    <row r="377" spans="2:11" ht="20.100000000000001" customHeight="1" x14ac:dyDescent="0.3">
      <c r="B377" s="62">
        <v>45304</v>
      </c>
      <c r="C377" s="63" t="s">
        <v>1262</v>
      </c>
      <c r="D377" s="64">
        <v>123457163</v>
      </c>
      <c r="E377" s="65" t="s">
        <v>424</v>
      </c>
      <c r="F377" s="53" t="s">
        <v>868</v>
      </c>
      <c r="G377" s="66">
        <v>590</v>
      </c>
      <c r="H377" s="67">
        <v>23</v>
      </c>
      <c r="I377" s="67">
        <v>13570</v>
      </c>
      <c r="J377" s="68">
        <v>123456789</v>
      </c>
      <c r="K377" s="69" t="s">
        <v>887</v>
      </c>
    </row>
    <row r="378" spans="2:11" ht="20.100000000000001" customHeight="1" x14ac:dyDescent="0.3">
      <c r="B378" s="62">
        <v>45305</v>
      </c>
      <c r="C378" s="63" t="s">
        <v>1263</v>
      </c>
      <c r="D378" s="64">
        <v>123457164</v>
      </c>
      <c r="E378" s="70" t="s">
        <v>425</v>
      </c>
      <c r="F378" s="111" t="s">
        <v>869</v>
      </c>
      <c r="G378" s="66">
        <v>522</v>
      </c>
      <c r="H378" s="67">
        <v>22</v>
      </c>
      <c r="I378" s="67">
        <v>11484</v>
      </c>
      <c r="J378" s="68">
        <v>123456789</v>
      </c>
      <c r="K378" s="69" t="s">
        <v>887</v>
      </c>
    </row>
    <row r="379" spans="2:11" ht="20.100000000000001" customHeight="1" x14ac:dyDescent="0.3">
      <c r="B379" s="62">
        <v>45306</v>
      </c>
      <c r="C379" s="63" t="s">
        <v>1264</v>
      </c>
      <c r="D379" s="64">
        <v>123457165</v>
      </c>
      <c r="E379" s="65" t="s">
        <v>426</v>
      </c>
      <c r="F379" s="53" t="s">
        <v>868</v>
      </c>
      <c r="G379" s="66">
        <v>663</v>
      </c>
      <c r="H379" s="67">
        <v>21</v>
      </c>
      <c r="I379" s="67">
        <v>13923</v>
      </c>
      <c r="J379" s="68">
        <v>123456789</v>
      </c>
      <c r="K379" s="69" t="s">
        <v>887</v>
      </c>
    </row>
    <row r="380" spans="2:11" ht="20.100000000000001" customHeight="1" x14ac:dyDescent="0.3">
      <c r="B380" s="62">
        <v>45307</v>
      </c>
      <c r="C380" s="63" t="s">
        <v>1265</v>
      </c>
      <c r="D380" s="64">
        <v>123457166</v>
      </c>
      <c r="E380" s="70" t="s">
        <v>427</v>
      </c>
      <c r="F380" s="111" t="s">
        <v>868</v>
      </c>
      <c r="G380" s="66">
        <v>509</v>
      </c>
      <c r="H380" s="67">
        <v>25</v>
      </c>
      <c r="I380" s="67">
        <v>12725</v>
      </c>
      <c r="J380" s="68">
        <v>123456789</v>
      </c>
      <c r="K380" s="69" t="s">
        <v>889</v>
      </c>
    </row>
    <row r="381" spans="2:11" ht="20.100000000000001" customHeight="1" x14ac:dyDescent="0.3">
      <c r="B381" s="62">
        <v>45308</v>
      </c>
      <c r="C381" s="63" t="s">
        <v>1266</v>
      </c>
      <c r="D381" s="64">
        <v>123457167</v>
      </c>
      <c r="E381" s="65" t="s">
        <v>428</v>
      </c>
      <c r="F381" s="53" t="s">
        <v>868</v>
      </c>
      <c r="G381" s="66">
        <v>698</v>
      </c>
      <c r="H381" s="67">
        <v>30</v>
      </c>
      <c r="I381" s="67">
        <v>20940</v>
      </c>
      <c r="J381" s="68">
        <v>123456789</v>
      </c>
      <c r="K381" s="69" t="s">
        <v>887</v>
      </c>
    </row>
    <row r="382" spans="2:11" ht="20.100000000000001" customHeight="1" x14ac:dyDescent="0.3">
      <c r="B382" s="62">
        <v>45309</v>
      </c>
      <c r="C382" s="63" t="s">
        <v>1267</v>
      </c>
      <c r="D382" s="64">
        <v>123457168</v>
      </c>
      <c r="E382" s="70" t="s">
        <v>429</v>
      </c>
      <c r="F382" s="111" t="s">
        <v>869</v>
      </c>
      <c r="G382" s="66">
        <v>874</v>
      </c>
      <c r="H382" s="67">
        <v>25</v>
      </c>
      <c r="I382" s="67">
        <v>21850</v>
      </c>
      <c r="J382" s="68">
        <v>123456789</v>
      </c>
      <c r="K382" s="69" t="s">
        <v>887</v>
      </c>
    </row>
    <row r="383" spans="2:11" ht="20.100000000000001" customHeight="1" x14ac:dyDescent="0.3">
      <c r="B383" s="62">
        <v>45310</v>
      </c>
      <c r="C383" s="63" t="s">
        <v>1268</v>
      </c>
      <c r="D383" s="64">
        <v>123457169</v>
      </c>
      <c r="E383" s="65" t="s">
        <v>430</v>
      </c>
      <c r="F383" s="53" t="s">
        <v>868</v>
      </c>
      <c r="G383" s="66">
        <v>861</v>
      </c>
      <c r="H383" s="67">
        <v>26</v>
      </c>
      <c r="I383" s="67">
        <v>22386</v>
      </c>
      <c r="J383" s="68">
        <v>123456789</v>
      </c>
      <c r="K383" s="69" t="s">
        <v>887</v>
      </c>
    </row>
    <row r="384" spans="2:11" ht="20.100000000000001" customHeight="1" x14ac:dyDescent="0.3">
      <c r="B384" s="62">
        <v>45311</v>
      </c>
      <c r="C384" s="63" t="s">
        <v>1269</v>
      </c>
      <c r="D384" s="64">
        <v>123457170</v>
      </c>
      <c r="E384" s="70" t="s">
        <v>431</v>
      </c>
      <c r="F384" s="111" t="s">
        <v>868</v>
      </c>
      <c r="G384" s="66">
        <v>834</v>
      </c>
      <c r="H384" s="67">
        <v>25</v>
      </c>
      <c r="I384" s="67">
        <v>20850</v>
      </c>
      <c r="J384" s="68">
        <v>123456789</v>
      </c>
      <c r="K384" s="69" t="s">
        <v>887</v>
      </c>
    </row>
    <row r="385" spans="2:11" ht="20.100000000000001" customHeight="1" x14ac:dyDescent="0.3">
      <c r="B385" s="62">
        <v>45312</v>
      </c>
      <c r="C385" s="63" t="s">
        <v>1270</v>
      </c>
      <c r="D385" s="64">
        <v>123457171</v>
      </c>
      <c r="E385" s="65" t="s">
        <v>432</v>
      </c>
      <c r="F385" s="53" t="s">
        <v>869</v>
      </c>
      <c r="G385" s="66">
        <v>835</v>
      </c>
      <c r="H385" s="67">
        <v>26</v>
      </c>
      <c r="I385" s="67">
        <v>21710</v>
      </c>
      <c r="J385" s="68">
        <v>123456789</v>
      </c>
      <c r="K385" s="69" t="s">
        <v>887</v>
      </c>
    </row>
    <row r="386" spans="2:11" ht="20.100000000000001" customHeight="1" x14ac:dyDescent="0.3">
      <c r="B386" s="62">
        <v>45313</v>
      </c>
      <c r="C386" s="63" t="s">
        <v>1271</v>
      </c>
      <c r="D386" s="64">
        <v>123457172</v>
      </c>
      <c r="E386" s="70" t="s">
        <v>433</v>
      </c>
      <c r="F386" s="111" t="s">
        <v>869</v>
      </c>
      <c r="G386" s="66">
        <v>843</v>
      </c>
      <c r="H386" s="67">
        <v>25</v>
      </c>
      <c r="I386" s="67">
        <v>21075</v>
      </c>
      <c r="J386" s="68">
        <v>123456789</v>
      </c>
      <c r="K386" s="69" t="s">
        <v>887</v>
      </c>
    </row>
    <row r="387" spans="2:11" ht="20.100000000000001" customHeight="1" x14ac:dyDescent="0.3">
      <c r="B387" s="62">
        <v>45314</v>
      </c>
      <c r="C387" s="63" t="s">
        <v>1272</v>
      </c>
      <c r="D387" s="64">
        <v>123457173</v>
      </c>
      <c r="E387" s="65" t="s">
        <v>434</v>
      </c>
      <c r="F387" s="53" t="s">
        <v>868</v>
      </c>
      <c r="G387" s="66">
        <v>938</v>
      </c>
      <c r="H387" s="67">
        <v>28</v>
      </c>
      <c r="I387" s="67">
        <v>26264</v>
      </c>
      <c r="J387" s="68">
        <v>123456789</v>
      </c>
      <c r="K387" s="69" t="s">
        <v>887</v>
      </c>
    </row>
    <row r="388" spans="2:11" ht="20.100000000000001" customHeight="1" x14ac:dyDescent="0.3">
      <c r="B388" s="62">
        <v>45315</v>
      </c>
      <c r="C388" s="63" t="s">
        <v>1273</v>
      </c>
      <c r="D388" s="64">
        <v>123457174</v>
      </c>
      <c r="E388" s="70" t="s">
        <v>435</v>
      </c>
      <c r="F388" s="111" t="s">
        <v>869</v>
      </c>
      <c r="G388" s="66">
        <v>507</v>
      </c>
      <c r="H388" s="67">
        <v>27</v>
      </c>
      <c r="I388" s="67">
        <v>13689</v>
      </c>
      <c r="J388" s="68">
        <v>123456789</v>
      </c>
      <c r="K388" s="69" t="s">
        <v>889</v>
      </c>
    </row>
    <row r="389" spans="2:11" ht="20.100000000000001" customHeight="1" x14ac:dyDescent="0.3">
      <c r="B389" s="62">
        <v>45316</v>
      </c>
      <c r="C389" s="63" t="s">
        <v>1274</v>
      </c>
      <c r="D389" s="64">
        <v>123457175</v>
      </c>
      <c r="E389" s="65" t="s">
        <v>436</v>
      </c>
      <c r="F389" s="53" t="s">
        <v>868</v>
      </c>
      <c r="G389" s="66">
        <v>726</v>
      </c>
      <c r="H389" s="67">
        <v>21</v>
      </c>
      <c r="I389" s="67">
        <v>15246</v>
      </c>
      <c r="J389" s="68">
        <v>123456789</v>
      </c>
      <c r="K389" s="69" t="s">
        <v>887</v>
      </c>
    </row>
    <row r="390" spans="2:11" ht="20.100000000000001" customHeight="1" x14ac:dyDescent="0.3">
      <c r="B390" s="62">
        <v>45317</v>
      </c>
      <c r="C390" s="63" t="s">
        <v>1275</v>
      </c>
      <c r="D390" s="64">
        <v>123457176</v>
      </c>
      <c r="E390" s="70" t="s">
        <v>437</v>
      </c>
      <c r="F390" s="111" t="s">
        <v>868</v>
      </c>
      <c r="G390" s="66">
        <v>669</v>
      </c>
      <c r="H390" s="67">
        <v>27</v>
      </c>
      <c r="I390" s="67">
        <v>18063</v>
      </c>
      <c r="J390" s="68">
        <v>123456789</v>
      </c>
      <c r="K390" s="69" t="s">
        <v>887</v>
      </c>
    </row>
    <row r="391" spans="2:11" ht="20.100000000000001" customHeight="1" x14ac:dyDescent="0.3">
      <c r="B391" s="62">
        <v>45318</v>
      </c>
      <c r="C391" s="63" t="s">
        <v>1276</v>
      </c>
      <c r="D391" s="64">
        <v>123457177</v>
      </c>
      <c r="E391" s="65" t="s">
        <v>438</v>
      </c>
      <c r="F391" s="53" t="s">
        <v>868</v>
      </c>
      <c r="G391" s="66">
        <v>755</v>
      </c>
      <c r="H391" s="67">
        <v>28</v>
      </c>
      <c r="I391" s="67">
        <v>21140</v>
      </c>
      <c r="J391" s="68">
        <v>123456789</v>
      </c>
      <c r="K391" s="69" t="s">
        <v>887</v>
      </c>
    </row>
    <row r="392" spans="2:11" ht="20.100000000000001" customHeight="1" x14ac:dyDescent="0.3">
      <c r="B392" s="62">
        <v>45319</v>
      </c>
      <c r="C392" s="63" t="s">
        <v>1277</v>
      </c>
      <c r="D392" s="64">
        <v>123457178</v>
      </c>
      <c r="E392" s="70" t="s">
        <v>439</v>
      </c>
      <c r="F392" s="111" t="s">
        <v>868</v>
      </c>
      <c r="G392" s="66">
        <v>892</v>
      </c>
      <c r="H392" s="67">
        <v>22</v>
      </c>
      <c r="I392" s="67">
        <v>19624</v>
      </c>
      <c r="J392" s="68">
        <v>123456789</v>
      </c>
      <c r="K392" s="69" t="s">
        <v>887</v>
      </c>
    </row>
    <row r="393" spans="2:11" ht="20.100000000000001" customHeight="1" x14ac:dyDescent="0.3">
      <c r="B393" s="62">
        <v>45320</v>
      </c>
      <c r="C393" s="63" t="s">
        <v>1278</v>
      </c>
      <c r="D393" s="64">
        <v>123457179</v>
      </c>
      <c r="E393" s="65" t="s">
        <v>440</v>
      </c>
      <c r="F393" s="53" t="s">
        <v>869</v>
      </c>
      <c r="G393" s="66">
        <v>889</v>
      </c>
      <c r="H393" s="67">
        <v>31</v>
      </c>
      <c r="I393" s="67">
        <v>27559</v>
      </c>
      <c r="J393" s="68">
        <v>123456789</v>
      </c>
      <c r="K393" s="69" t="s">
        <v>887</v>
      </c>
    </row>
    <row r="394" spans="2:11" ht="20.100000000000001" customHeight="1" x14ac:dyDescent="0.3">
      <c r="B394" s="62">
        <v>45321</v>
      </c>
      <c r="C394" s="63" t="s">
        <v>1279</v>
      </c>
      <c r="D394" s="64">
        <v>123457180</v>
      </c>
      <c r="E394" s="70" t="s">
        <v>441</v>
      </c>
      <c r="F394" s="111" t="s">
        <v>868</v>
      </c>
      <c r="G394" s="66">
        <v>552</v>
      </c>
      <c r="H394" s="67">
        <v>24</v>
      </c>
      <c r="I394" s="67">
        <v>13248</v>
      </c>
      <c r="J394" s="68">
        <v>123456789</v>
      </c>
      <c r="K394" s="69" t="s">
        <v>887</v>
      </c>
    </row>
    <row r="395" spans="2:11" ht="20.100000000000001" customHeight="1" x14ac:dyDescent="0.3">
      <c r="B395" s="62">
        <v>45322</v>
      </c>
      <c r="C395" s="63" t="s">
        <v>1280</v>
      </c>
      <c r="D395" s="64">
        <v>123457181</v>
      </c>
      <c r="E395" s="65" t="s">
        <v>442</v>
      </c>
      <c r="F395" s="53" t="s">
        <v>869</v>
      </c>
      <c r="G395" s="66">
        <v>943</v>
      </c>
      <c r="H395" s="67">
        <v>28</v>
      </c>
      <c r="I395" s="67">
        <v>26404</v>
      </c>
      <c r="J395" s="68">
        <v>123456789</v>
      </c>
      <c r="K395" s="69" t="s">
        <v>887</v>
      </c>
    </row>
    <row r="396" spans="2:11" ht="20.100000000000001" customHeight="1" x14ac:dyDescent="0.3">
      <c r="B396" s="62">
        <v>45323</v>
      </c>
      <c r="C396" s="63" t="s">
        <v>1281</v>
      </c>
      <c r="D396" s="64">
        <v>123457182</v>
      </c>
      <c r="E396" s="70" t="s">
        <v>443</v>
      </c>
      <c r="F396" s="111" t="s">
        <v>869</v>
      </c>
      <c r="G396" s="66">
        <v>703</v>
      </c>
      <c r="H396" s="67">
        <v>29</v>
      </c>
      <c r="I396" s="67">
        <v>20387</v>
      </c>
      <c r="J396" s="68">
        <v>123456789</v>
      </c>
      <c r="K396" s="69" t="s">
        <v>887</v>
      </c>
    </row>
    <row r="397" spans="2:11" ht="20.100000000000001" customHeight="1" x14ac:dyDescent="0.3">
      <c r="B397" s="62">
        <v>45324</v>
      </c>
      <c r="C397" s="63" t="s">
        <v>1282</v>
      </c>
      <c r="D397" s="64">
        <v>123457183</v>
      </c>
      <c r="E397" s="65" t="s">
        <v>444</v>
      </c>
      <c r="F397" s="53" t="s">
        <v>869</v>
      </c>
      <c r="G397" s="66">
        <v>661</v>
      </c>
      <c r="H397" s="67">
        <v>28</v>
      </c>
      <c r="I397" s="67">
        <v>18508</v>
      </c>
      <c r="J397" s="68">
        <v>123456789</v>
      </c>
      <c r="K397" s="69" t="s">
        <v>887</v>
      </c>
    </row>
    <row r="398" spans="2:11" ht="20.100000000000001" customHeight="1" x14ac:dyDescent="0.3">
      <c r="B398" s="62">
        <v>45325</v>
      </c>
      <c r="C398" s="63" t="s">
        <v>1283</v>
      </c>
      <c r="D398" s="64">
        <v>123457184</v>
      </c>
      <c r="E398" s="70" t="s">
        <v>445</v>
      </c>
      <c r="F398" s="111" t="s">
        <v>868</v>
      </c>
      <c r="G398" s="66">
        <v>624</v>
      </c>
      <c r="H398" s="67">
        <v>23</v>
      </c>
      <c r="I398" s="67">
        <v>14352</v>
      </c>
      <c r="J398" s="68">
        <v>123456789</v>
      </c>
      <c r="K398" s="69" t="s">
        <v>889</v>
      </c>
    </row>
    <row r="399" spans="2:11" ht="20.100000000000001" customHeight="1" x14ac:dyDescent="0.3">
      <c r="B399" s="62">
        <v>45326</v>
      </c>
      <c r="C399" s="63" t="s">
        <v>1284</v>
      </c>
      <c r="D399" s="64">
        <v>123457185</v>
      </c>
      <c r="E399" s="65" t="s">
        <v>446</v>
      </c>
      <c r="F399" s="111" t="s">
        <v>868</v>
      </c>
      <c r="G399" s="66">
        <v>624</v>
      </c>
      <c r="H399" s="67">
        <v>30</v>
      </c>
      <c r="I399" s="67">
        <v>18720</v>
      </c>
      <c r="J399" s="68">
        <v>123456789</v>
      </c>
      <c r="K399" s="69" t="s">
        <v>889</v>
      </c>
    </row>
    <row r="400" spans="2:11" ht="20.100000000000001" customHeight="1" x14ac:dyDescent="0.3">
      <c r="B400" s="62">
        <v>45327</v>
      </c>
      <c r="C400" s="63" t="s">
        <v>1285</v>
      </c>
      <c r="D400" s="64">
        <v>123457186</v>
      </c>
      <c r="E400" s="70" t="s">
        <v>447</v>
      </c>
      <c r="F400" s="111" t="s">
        <v>868</v>
      </c>
      <c r="G400" s="66">
        <v>931</v>
      </c>
      <c r="H400" s="67">
        <v>28</v>
      </c>
      <c r="I400" s="67">
        <v>26068</v>
      </c>
      <c r="J400" s="68">
        <v>123456789</v>
      </c>
      <c r="K400" s="69" t="s">
        <v>889</v>
      </c>
    </row>
    <row r="401" spans="2:11" ht="20.100000000000001" customHeight="1" x14ac:dyDescent="0.3">
      <c r="B401" s="62">
        <v>45328</v>
      </c>
      <c r="C401" s="63" t="s">
        <v>1286</v>
      </c>
      <c r="D401" s="64">
        <v>123457187</v>
      </c>
      <c r="E401" s="65" t="s">
        <v>448</v>
      </c>
      <c r="F401" s="111" t="s">
        <v>868</v>
      </c>
      <c r="G401" s="66">
        <v>624</v>
      </c>
      <c r="H401" s="67">
        <v>24</v>
      </c>
      <c r="I401" s="67">
        <v>14976</v>
      </c>
      <c r="J401" s="68">
        <v>123456789</v>
      </c>
      <c r="K401" s="69" t="s">
        <v>889</v>
      </c>
    </row>
    <row r="402" spans="2:11" ht="20.100000000000001" customHeight="1" x14ac:dyDescent="0.3">
      <c r="B402" s="62">
        <v>45329</v>
      </c>
      <c r="C402" s="63" t="s">
        <v>1287</v>
      </c>
      <c r="D402" s="64">
        <v>123457188</v>
      </c>
      <c r="E402" s="70" t="s">
        <v>449</v>
      </c>
      <c r="F402" s="111" t="s">
        <v>868</v>
      </c>
      <c r="G402" s="66">
        <v>607</v>
      </c>
      <c r="H402" s="67">
        <v>31</v>
      </c>
      <c r="I402" s="67">
        <v>18817</v>
      </c>
      <c r="J402" s="68">
        <v>123456789</v>
      </c>
      <c r="K402" s="69" t="s">
        <v>889</v>
      </c>
    </row>
    <row r="403" spans="2:11" ht="20.100000000000001" customHeight="1" x14ac:dyDescent="0.3">
      <c r="B403" s="62">
        <v>45330</v>
      </c>
      <c r="C403" s="63" t="s">
        <v>1288</v>
      </c>
      <c r="D403" s="64">
        <v>123457189</v>
      </c>
      <c r="E403" s="65" t="s">
        <v>450</v>
      </c>
      <c r="F403" s="111" t="s">
        <v>868</v>
      </c>
      <c r="G403" s="66">
        <v>978</v>
      </c>
      <c r="H403" s="67">
        <v>25</v>
      </c>
      <c r="I403" s="67">
        <v>24450</v>
      </c>
      <c r="J403" s="68">
        <v>123456789</v>
      </c>
      <c r="K403" s="69" t="s">
        <v>887</v>
      </c>
    </row>
    <row r="404" spans="2:11" ht="20.100000000000001" customHeight="1" x14ac:dyDescent="0.3">
      <c r="B404" s="62">
        <v>45331</v>
      </c>
      <c r="C404" s="63" t="s">
        <v>1289</v>
      </c>
      <c r="D404" s="64">
        <v>123457190</v>
      </c>
      <c r="E404" s="70" t="s">
        <v>451</v>
      </c>
      <c r="F404" s="111" t="s">
        <v>868</v>
      </c>
      <c r="G404" s="66">
        <v>767</v>
      </c>
      <c r="H404" s="67">
        <v>30</v>
      </c>
      <c r="I404" s="67">
        <v>23010</v>
      </c>
      <c r="J404" s="68">
        <v>123456789</v>
      </c>
      <c r="K404" s="69" t="s">
        <v>887</v>
      </c>
    </row>
    <row r="405" spans="2:11" ht="20.100000000000001" customHeight="1" x14ac:dyDescent="0.3">
      <c r="B405" s="62">
        <v>45332</v>
      </c>
      <c r="C405" s="63" t="s">
        <v>1290</v>
      </c>
      <c r="D405" s="64">
        <v>123457191</v>
      </c>
      <c r="E405" s="65" t="s">
        <v>452</v>
      </c>
      <c r="F405" s="111" t="s">
        <v>868</v>
      </c>
      <c r="G405" s="66">
        <v>922</v>
      </c>
      <c r="H405" s="67">
        <v>29</v>
      </c>
      <c r="I405" s="67">
        <v>26738</v>
      </c>
      <c r="J405" s="68">
        <v>123456789</v>
      </c>
      <c r="K405" s="69" t="s">
        <v>887</v>
      </c>
    </row>
    <row r="406" spans="2:11" ht="20.100000000000001" customHeight="1" x14ac:dyDescent="0.3">
      <c r="B406" s="62">
        <v>45333</v>
      </c>
      <c r="C406" s="63" t="s">
        <v>1291</v>
      </c>
      <c r="D406" s="64">
        <v>123457192</v>
      </c>
      <c r="E406" s="70" t="s">
        <v>453</v>
      </c>
      <c r="F406" s="111" t="s">
        <v>869</v>
      </c>
      <c r="G406" s="66">
        <v>558</v>
      </c>
      <c r="H406" s="67">
        <v>28</v>
      </c>
      <c r="I406" s="67">
        <v>15624</v>
      </c>
      <c r="J406" s="68">
        <v>123456789</v>
      </c>
      <c r="K406" s="69" t="s">
        <v>887</v>
      </c>
    </row>
    <row r="407" spans="2:11" ht="20.100000000000001" customHeight="1" x14ac:dyDescent="0.3">
      <c r="B407" s="62">
        <v>45334</v>
      </c>
      <c r="C407" s="63" t="s">
        <v>1292</v>
      </c>
      <c r="D407" s="64">
        <v>123457193</v>
      </c>
      <c r="E407" s="65" t="s">
        <v>454</v>
      </c>
      <c r="F407" s="53" t="s">
        <v>869</v>
      </c>
      <c r="G407" s="66">
        <v>565</v>
      </c>
      <c r="H407" s="67">
        <v>24</v>
      </c>
      <c r="I407" s="67">
        <v>13560</v>
      </c>
      <c r="J407" s="68">
        <v>123456789</v>
      </c>
      <c r="K407" s="69" t="s">
        <v>887</v>
      </c>
    </row>
    <row r="408" spans="2:11" ht="20.100000000000001" customHeight="1" x14ac:dyDescent="0.3">
      <c r="B408" s="62">
        <v>45335</v>
      </c>
      <c r="C408" s="63" t="s">
        <v>1293</v>
      </c>
      <c r="D408" s="64">
        <v>123457194</v>
      </c>
      <c r="E408" s="70" t="s">
        <v>455</v>
      </c>
      <c r="F408" s="111" t="s">
        <v>868</v>
      </c>
      <c r="G408" s="66">
        <v>792</v>
      </c>
      <c r="H408" s="67">
        <v>21</v>
      </c>
      <c r="I408" s="67">
        <v>16632</v>
      </c>
      <c r="J408" s="68">
        <v>123456789</v>
      </c>
      <c r="K408" s="69" t="s">
        <v>887</v>
      </c>
    </row>
    <row r="409" spans="2:11" ht="20.100000000000001" customHeight="1" x14ac:dyDescent="0.3">
      <c r="B409" s="62">
        <v>45336</v>
      </c>
      <c r="C409" s="63" t="s">
        <v>1294</v>
      </c>
      <c r="D409" s="64">
        <v>123457195</v>
      </c>
      <c r="E409" s="65" t="s">
        <v>456</v>
      </c>
      <c r="F409" s="111" t="s">
        <v>868</v>
      </c>
      <c r="G409" s="66">
        <v>836</v>
      </c>
      <c r="H409" s="67">
        <v>27</v>
      </c>
      <c r="I409" s="67">
        <v>22572</v>
      </c>
      <c r="J409" s="68">
        <v>123456789</v>
      </c>
      <c r="K409" s="69" t="s">
        <v>887</v>
      </c>
    </row>
    <row r="410" spans="2:11" ht="20.100000000000001" customHeight="1" x14ac:dyDescent="0.3">
      <c r="B410" s="62">
        <v>45337</v>
      </c>
      <c r="C410" s="63" t="s">
        <v>1295</v>
      </c>
      <c r="D410" s="64">
        <v>123457196</v>
      </c>
      <c r="E410" s="70" t="s">
        <v>457</v>
      </c>
      <c r="F410" s="111" t="s">
        <v>868</v>
      </c>
      <c r="G410" s="66">
        <v>926</v>
      </c>
      <c r="H410" s="67">
        <v>21</v>
      </c>
      <c r="I410" s="67">
        <v>19446</v>
      </c>
      <c r="J410" s="68">
        <v>123456789</v>
      </c>
      <c r="K410" s="69" t="s">
        <v>889</v>
      </c>
    </row>
    <row r="411" spans="2:11" ht="20.100000000000001" customHeight="1" x14ac:dyDescent="0.3">
      <c r="B411" s="62">
        <v>45338</v>
      </c>
      <c r="C411" s="63" t="s">
        <v>1296</v>
      </c>
      <c r="D411" s="64">
        <v>123457197</v>
      </c>
      <c r="E411" s="65" t="s">
        <v>458</v>
      </c>
      <c r="F411" s="111" t="s">
        <v>868</v>
      </c>
      <c r="G411" s="66">
        <v>957</v>
      </c>
      <c r="H411" s="67">
        <v>28</v>
      </c>
      <c r="I411" s="67">
        <v>26796</v>
      </c>
      <c r="J411" s="68">
        <v>123456789</v>
      </c>
      <c r="K411" s="69" t="s">
        <v>887</v>
      </c>
    </row>
    <row r="412" spans="2:11" ht="20.100000000000001" customHeight="1" x14ac:dyDescent="0.3">
      <c r="B412" s="62">
        <v>45339</v>
      </c>
      <c r="C412" s="63" t="s">
        <v>1297</v>
      </c>
      <c r="D412" s="64">
        <v>123457198</v>
      </c>
      <c r="E412" s="70" t="s">
        <v>459</v>
      </c>
      <c r="F412" s="111" t="s">
        <v>868</v>
      </c>
      <c r="G412" s="66">
        <v>646</v>
      </c>
      <c r="H412" s="67">
        <v>29</v>
      </c>
      <c r="I412" s="67">
        <v>18734</v>
      </c>
      <c r="J412" s="68">
        <v>123456789</v>
      </c>
      <c r="K412" s="69" t="s">
        <v>887</v>
      </c>
    </row>
    <row r="413" spans="2:11" ht="20.100000000000001" customHeight="1" x14ac:dyDescent="0.3">
      <c r="B413" s="62">
        <v>45340</v>
      </c>
      <c r="C413" s="63" t="s">
        <v>1298</v>
      </c>
      <c r="D413" s="64">
        <v>123457199</v>
      </c>
      <c r="E413" s="65" t="s">
        <v>460</v>
      </c>
      <c r="F413" s="111" t="s">
        <v>868</v>
      </c>
      <c r="G413" s="66">
        <v>550</v>
      </c>
      <c r="H413" s="67">
        <v>24</v>
      </c>
      <c r="I413" s="67">
        <v>13200</v>
      </c>
      <c r="J413" s="68">
        <v>123456789</v>
      </c>
      <c r="K413" s="69" t="s">
        <v>887</v>
      </c>
    </row>
    <row r="414" spans="2:11" ht="20.100000000000001" customHeight="1" x14ac:dyDescent="0.3">
      <c r="B414" s="62">
        <v>45341</v>
      </c>
      <c r="C414" s="63" t="s">
        <v>1299</v>
      </c>
      <c r="D414" s="64">
        <v>123457200</v>
      </c>
      <c r="E414" s="70" t="s">
        <v>461</v>
      </c>
      <c r="F414" s="111" t="s">
        <v>869</v>
      </c>
      <c r="G414" s="66">
        <v>507</v>
      </c>
      <c r="H414" s="67">
        <v>22</v>
      </c>
      <c r="I414" s="67">
        <v>11154</v>
      </c>
      <c r="J414" s="68">
        <v>123456789</v>
      </c>
      <c r="K414" s="69" t="s">
        <v>887</v>
      </c>
    </row>
    <row r="415" spans="2:11" ht="20.100000000000001" customHeight="1" x14ac:dyDescent="0.3">
      <c r="B415" s="62">
        <v>45342</v>
      </c>
      <c r="C415" s="63" t="s">
        <v>1300</v>
      </c>
      <c r="D415" s="64">
        <v>123457201</v>
      </c>
      <c r="E415" s="65" t="s">
        <v>462</v>
      </c>
      <c r="F415" s="53" t="s">
        <v>868</v>
      </c>
      <c r="G415" s="66">
        <v>572</v>
      </c>
      <c r="H415" s="67">
        <v>28</v>
      </c>
      <c r="I415" s="67">
        <v>16016</v>
      </c>
      <c r="J415" s="68">
        <v>123456789</v>
      </c>
      <c r="K415" s="69" t="s">
        <v>887</v>
      </c>
    </row>
    <row r="416" spans="2:11" ht="20.100000000000001" customHeight="1" x14ac:dyDescent="0.3">
      <c r="B416" s="62">
        <v>45343</v>
      </c>
      <c r="C416" s="63" t="s">
        <v>1301</v>
      </c>
      <c r="D416" s="64">
        <v>123457202</v>
      </c>
      <c r="E416" s="70" t="s">
        <v>463</v>
      </c>
      <c r="F416" s="111" t="s">
        <v>868</v>
      </c>
      <c r="G416" s="66">
        <v>998</v>
      </c>
      <c r="H416" s="67">
        <v>21</v>
      </c>
      <c r="I416" s="67">
        <v>20958</v>
      </c>
      <c r="J416" s="68">
        <v>123456789</v>
      </c>
      <c r="K416" s="69" t="s">
        <v>889</v>
      </c>
    </row>
    <row r="417" spans="2:11" ht="20.100000000000001" customHeight="1" x14ac:dyDescent="0.3">
      <c r="B417" s="62">
        <v>45344</v>
      </c>
      <c r="C417" s="63" t="s">
        <v>1302</v>
      </c>
      <c r="D417" s="64">
        <v>123457203</v>
      </c>
      <c r="E417" s="65" t="s">
        <v>464</v>
      </c>
      <c r="F417" s="53" t="s">
        <v>868</v>
      </c>
      <c r="G417" s="66">
        <v>782</v>
      </c>
      <c r="H417" s="67">
        <v>22</v>
      </c>
      <c r="I417" s="67">
        <v>17204</v>
      </c>
      <c r="J417" s="68">
        <v>123456789</v>
      </c>
      <c r="K417" s="69" t="s">
        <v>887</v>
      </c>
    </row>
    <row r="418" spans="2:11" ht="20.100000000000001" customHeight="1" x14ac:dyDescent="0.3">
      <c r="B418" s="62">
        <v>45345</v>
      </c>
      <c r="C418" s="63" t="s">
        <v>1303</v>
      </c>
      <c r="D418" s="64">
        <v>123457204</v>
      </c>
      <c r="E418" s="70" t="s">
        <v>465</v>
      </c>
      <c r="F418" s="111" t="s">
        <v>868</v>
      </c>
      <c r="G418" s="66">
        <v>665</v>
      </c>
      <c r="H418" s="67">
        <v>24</v>
      </c>
      <c r="I418" s="67">
        <v>15960</v>
      </c>
      <c r="J418" s="68">
        <v>123456789</v>
      </c>
      <c r="K418" s="69" t="s">
        <v>887</v>
      </c>
    </row>
    <row r="419" spans="2:11" ht="20.100000000000001" customHeight="1" x14ac:dyDescent="0.3">
      <c r="B419" s="62">
        <v>45346</v>
      </c>
      <c r="C419" s="63" t="s">
        <v>1304</v>
      </c>
      <c r="D419" s="64">
        <v>123457205</v>
      </c>
      <c r="E419" s="65" t="s">
        <v>466</v>
      </c>
      <c r="F419" s="53" t="s">
        <v>868</v>
      </c>
      <c r="G419" s="66">
        <v>663</v>
      </c>
      <c r="H419" s="67">
        <v>22</v>
      </c>
      <c r="I419" s="67">
        <v>14586</v>
      </c>
      <c r="J419" s="68">
        <v>123456789</v>
      </c>
      <c r="K419" s="69" t="s">
        <v>887</v>
      </c>
    </row>
    <row r="420" spans="2:11" ht="20.100000000000001" customHeight="1" x14ac:dyDescent="0.3">
      <c r="B420" s="62">
        <v>45347</v>
      </c>
      <c r="C420" s="63" t="s">
        <v>1305</v>
      </c>
      <c r="D420" s="64">
        <v>123457206</v>
      </c>
      <c r="E420" s="70" t="s">
        <v>467</v>
      </c>
      <c r="F420" s="111" t="s">
        <v>868</v>
      </c>
      <c r="G420" s="66">
        <v>799</v>
      </c>
      <c r="H420" s="67">
        <v>24</v>
      </c>
      <c r="I420" s="67">
        <v>19176</v>
      </c>
      <c r="J420" s="68">
        <v>123456789</v>
      </c>
      <c r="K420" s="69" t="s">
        <v>889</v>
      </c>
    </row>
    <row r="421" spans="2:11" ht="20.100000000000001" customHeight="1" x14ac:dyDescent="0.3">
      <c r="B421" s="62">
        <v>45348</v>
      </c>
      <c r="C421" s="63" t="s">
        <v>1306</v>
      </c>
      <c r="D421" s="64">
        <v>123457207</v>
      </c>
      <c r="E421" s="65" t="s">
        <v>468</v>
      </c>
      <c r="F421" s="53" t="s">
        <v>868</v>
      </c>
      <c r="G421" s="66">
        <v>649</v>
      </c>
      <c r="H421" s="67">
        <v>25</v>
      </c>
      <c r="I421" s="67">
        <v>16225</v>
      </c>
      <c r="J421" s="68">
        <v>123456789</v>
      </c>
      <c r="K421" s="69" t="s">
        <v>887</v>
      </c>
    </row>
    <row r="422" spans="2:11" ht="20.100000000000001" customHeight="1" x14ac:dyDescent="0.3">
      <c r="B422" s="62">
        <v>45349</v>
      </c>
      <c r="C422" s="63" t="s">
        <v>1307</v>
      </c>
      <c r="D422" s="64">
        <v>123457208</v>
      </c>
      <c r="E422" s="70" t="s">
        <v>469</v>
      </c>
      <c r="F422" s="111" t="s">
        <v>868</v>
      </c>
      <c r="G422" s="66">
        <v>835</v>
      </c>
      <c r="H422" s="67">
        <v>24</v>
      </c>
      <c r="I422" s="67">
        <v>20040</v>
      </c>
      <c r="J422" s="68">
        <v>123456789</v>
      </c>
      <c r="K422" s="69" t="s">
        <v>887</v>
      </c>
    </row>
    <row r="423" spans="2:11" ht="20.100000000000001" customHeight="1" x14ac:dyDescent="0.3">
      <c r="B423" s="62">
        <v>45350</v>
      </c>
      <c r="C423" s="63" t="s">
        <v>1308</v>
      </c>
      <c r="D423" s="64">
        <v>123457209</v>
      </c>
      <c r="E423" s="65" t="s">
        <v>470</v>
      </c>
      <c r="F423" s="53" t="s">
        <v>868</v>
      </c>
      <c r="G423" s="66">
        <v>904</v>
      </c>
      <c r="H423" s="67">
        <v>30</v>
      </c>
      <c r="I423" s="67">
        <v>27120</v>
      </c>
      <c r="J423" s="68">
        <v>123456789</v>
      </c>
      <c r="K423" s="69" t="s">
        <v>887</v>
      </c>
    </row>
    <row r="424" spans="2:11" ht="20.100000000000001" customHeight="1" x14ac:dyDescent="0.3">
      <c r="B424" s="62">
        <v>45351</v>
      </c>
      <c r="C424" s="63" t="s">
        <v>1309</v>
      </c>
      <c r="D424" s="64">
        <v>123457210</v>
      </c>
      <c r="E424" s="70" t="s">
        <v>471</v>
      </c>
      <c r="F424" s="111" t="s">
        <v>868</v>
      </c>
      <c r="G424" s="66">
        <v>558</v>
      </c>
      <c r="H424" s="67">
        <v>26</v>
      </c>
      <c r="I424" s="67">
        <v>14508</v>
      </c>
      <c r="J424" s="68">
        <v>123456789</v>
      </c>
      <c r="K424" s="69" t="s">
        <v>887</v>
      </c>
    </row>
    <row r="425" spans="2:11" ht="20.100000000000001" customHeight="1" x14ac:dyDescent="0.3">
      <c r="B425" s="62">
        <v>45352</v>
      </c>
      <c r="C425" s="63" t="s">
        <v>1310</v>
      </c>
      <c r="D425" s="64">
        <v>123457211</v>
      </c>
      <c r="E425" s="65" t="s">
        <v>472</v>
      </c>
      <c r="F425" s="53" t="s">
        <v>868</v>
      </c>
      <c r="G425" s="66">
        <v>703</v>
      </c>
      <c r="H425" s="67">
        <v>21</v>
      </c>
      <c r="I425" s="67">
        <v>14763</v>
      </c>
      <c r="J425" s="68">
        <v>123456789</v>
      </c>
      <c r="K425" s="69" t="s">
        <v>887</v>
      </c>
    </row>
    <row r="426" spans="2:11" ht="20.100000000000001" customHeight="1" x14ac:dyDescent="0.3">
      <c r="B426" s="62">
        <v>45353</v>
      </c>
      <c r="C426" s="63" t="s">
        <v>1311</v>
      </c>
      <c r="D426" s="64">
        <v>123457212</v>
      </c>
      <c r="E426" s="70" t="s">
        <v>473</v>
      </c>
      <c r="F426" s="111" t="s">
        <v>869</v>
      </c>
      <c r="G426" s="66">
        <v>655</v>
      </c>
      <c r="H426" s="67">
        <v>26</v>
      </c>
      <c r="I426" s="67">
        <v>17030</v>
      </c>
      <c r="J426" s="68">
        <v>123456789</v>
      </c>
      <c r="K426" s="69" t="s">
        <v>887</v>
      </c>
    </row>
    <row r="427" spans="2:11" ht="20.100000000000001" customHeight="1" x14ac:dyDescent="0.3">
      <c r="B427" s="62">
        <v>45354</v>
      </c>
      <c r="C427" s="63" t="s">
        <v>1312</v>
      </c>
      <c r="D427" s="64">
        <v>123457213</v>
      </c>
      <c r="E427" s="65" t="s">
        <v>474</v>
      </c>
      <c r="F427" s="53" t="s">
        <v>869</v>
      </c>
      <c r="G427" s="66">
        <v>559</v>
      </c>
      <c r="H427" s="67">
        <v>22</v>
      </c>
      <c r="I427" s="67">
        <v>12298</v>
      </c>
      <c r="J427" s="68">
        <v>123456789</v>
      </c>
      <c r="K427" s="69" t="s">
        <v>887</v>
      </c>
    </row>
    <row r="428" spans="2:11" ht="20.100000000000001" customHeight="1" x14ac:dyDescent="0.3">
      <c r="B428" s="62">
        <v>45355</v>
      </c>
      <c r="C428" s="63" t="s">
        <v>1313</v>
      </c>
      <c r="D428" s="64">
        <v>123457214</v>
      </c>
      <c r="E428" s="70" t="s">
        <v>475</v>
      </c>
      <c r="F428" s="111" t="s">
        <v>868</v>
      </c>
      <c r="G428" s="66">
        <v>611</v>
      </c>
      <c r="H428" s="67">
        <v>29</v>
      </c>
      <c r="I428" s="67">
        <v>17719</v>
      </c>
      <c r="J428" s="68">
        <v>123456789</v>
      </c>
      <c r="K428" s="69" t="s">
        <v>887</v>
      </c>
    </row>
    <row r="429" spans="2:11" ht="20.100000000000001" customHeight="1" x14ac:dyDescent="0.3">
      <c r="B429" s="62">
        <v>45356</v>
      </c>
      <c r="C429" s="63" t="s">
        <v>1314</v>
      </c>
      <c r="D429" s="64">
        <v>123457215</v>
      </c>
      <c r="E429" s="65" t="s">
        <v>476</v>
      </c>
      <c r="F429" s="53" t="s">
        <v>869</v>
      </c>
      <c r="G429" s="66">
        <v>633</v>
      </c>
      <c r="H429" s="67">
        <v>23</v>
      </c>
      <c r="I429" s="67">
        <v>14559</v>
      </c>
      <c r="J429" s="68">
        <v>123456789</v>
      </c>
      <c r="K429" s="69" t="s">
        <v>889</v>
      </c>
    </row>
    <row r="430" spans="2:11" ht="20.100000000000001" customHeight="1" x14ac:dyDescent="0.3">
      <c r="B430" s="62">
        <v>45357</v>
      </c>
      <c r="C430" s="63" t="s">
        <v>1315</v>
      </c>
      <c r="D430" s="64">
        <v>123457216</v>
      </c>
      <c r="E430" s="70" t="s">
        <v>477</v>
      </c>
      <c r="F430" s="111" t="s">
        <v>869</v>
      </c>
      <c r="G430" s="66">
        <v>594</v>
      </c>
      <c r="H430" s="67">
        <v>28</v>
      </c>
      <c r="I430" s="67">
        <v>16632</v>
      </c>
      <c r="J430" s="68">
        <v>123456789</v>
      </c>
      <c r="K430" s="69" t="s">
        <v>887</v>
      </c>
    </row>
    <row r="431" spans="2:11" ht="20.100000000000001" customHeight="1" x14ac:dyDescent="0.3">
      <c r="B431" s="62">
        <v>45358</v>
      </c>
      <c r="C431" s="63" t="s">
        <v>1316</v>
      </c>
      <c r="D431" s="64">
        <v>123457217</v>
      </c>
      <c r="E431" s="65" t="s">
        <v>478</v>
      </c>
      <c r="F431" s="53" t="s">
        <v>868</v>
      </c>
      <c r="G431" s="66">
        <v>880</v>
      </c>
      <c r="H431" s="67">
        <v>24</v>
      </c>
      <c r="I431" s="67">
        <v>21120</v>
      </c>
      <c r="J431" s="68">
        <v>123456789</v>
      </c>
      <c r="K431" s="69" t="s">
        <v>887</v>
      </c>
    </row>
    <row r="432" spans="2:11" ht="20.100000000000001" customHeight="1" x14ac:dyDescent="0.3">
      <c r="B432" s="62">
        <v>45359</v>
      </c>
      <c r="C432" s="63" t="s">
        <v>1317</v>
      </c>
      <c r="D432" s="64">
        <v>123457218</v>
      </c>
      <c r="E432" s="70" t="s">
        <v>479</v>
      </c>
      <c r="F432" s="111" t="s">
        <v>868</v>
      </c>
      <c r="G432" s="66">
        <v>530</v>
      </c>
      <c r="H432" s="67">
        <v>28</v>
      </c>
      <c r="I432" s="67">
        <v>14840</v>
      </c>
      <c r="J432" s="68">
        <v>123456789</v>
      </c>
      <c r="K432" s="69" t="s">
        <v>887</v>
      </c>
    </row>
    <row r="433" spans="2:11" ht="20.100000000000001" customHeight="1" x14ac:dyDescent="0.3">
      <c r="B433" s="62">
        <v>45360</v>
      </c>
      <c r="C433" s="63" t="s">
        <v>1318</v>
      </c>
      <c r="D433" s="64">
        <v>123457219</v>
      </c>
      <c r="E433" s="65" t="s">
        <v>480</v>
      </c>
      <c r="F433" s="53" t="s">
        <v>869</v>
      </c>
      <c r="G433" s="66">
        <v>969</v>
      </c>
      <c r="H433" s="67">
        <v>26</v>
      </c>
      <c r="I433" s="67">
        <v>25194</v>
      </c>
      <c r="J433" s="68">
        <v>123456789</v>
      </c>
      <c r="K433" s="69" t="s">
        <v>887</v>
      </c>
    </row>
    <row r="434" spans="2:11" ht="20.100000000000001" customHeight="1" x14ac:dyDescent="0.3">
      <c r="B434" s="62">
        <v>45361</v>
      </c>
      <c r="C434" s="63" t="s">
        <v>1319</v>
      </c>
      <c r="D434" s="64">
        <v>123457220</v>
      </c>
      <c r="E434" s="70" t="s">
        <v>481</v>
      </c>
      <c r="F434" s="111" t="s">
        <v>868</v>
      </c>
      <c r="G434" s="66">
        <v>554</v>
      </c>
      <c r="H434" s="67">
        <v>28</v>
      </c>
      <c r="I434" s="67">
        <v>15512</v>
      </c>
      <c r="J434" s="68">
        <v>123456789</v>
      </c>
      <c r="K434" s="69" t="s">
        <v>887</v>
      </c>
    </row>
    <row r="435" spans="2:11" ht="20.100000000000001" customHeight="1" x14ac:dyDescent="0.3">
      <c r="B435" s="62">
        <v>45362</v>
      </c>
      <c r="C435" s="63" t="s">
        <v>1320</v>
      </c>
      <c r="D435" s="64">
        <v>123457221</v>
      </c>
      <c r="E435" s="65" t="s">
        <v>482</v>
      </c>
      <c r="F435" s="53" t="s">
        <v>869</v>
      </c>
      <c r="G435" s="66">
        <v>972</v>
      </c>
      <c r="H435" s="67">
        <v>31</v>
      </c>
      <c r="I435" s="67">
        <v>30132</v>
      </c>
      <c r="J435" s="68">
        <v>123456789</v>
      </c>
      <c r="K435" s="69" t="s">
        <v>889</v>
      </c>
    </row>
    <row r="436" spans="2:11" ht="20.100000000000001" customHeight="1" x14ac:dyDescent="0.3">
      <c r="B436" s="62">
        <v>45363</v>
      </c>
      <c r="C436" s="63" t="s">
        <v>1321</v>
      </c>
      <c r="D436" s="64">
        <v>123457222</v>
      </c>
      <c r="E436" s="70" t="s">
        <v>483</v>
      </c>
      <c r="F436" s="111" t="s">
        <v>868</v>
      </c>
      <c r="G436" s="66">
        <v>795</v>
      </c>
      <c r="H436" s="67">
        <v>28</v>
      </c>
      <c r="I436" s="67">
        <v>22260</v>
      </c>
      <c r="J436" s="68">
        <v>123456789</v>
      </c>
      <c r="K436" s="69" t="s">
        <v>889</v>
      </c>
    </row>
    <row r="437" spans="2:11" ht="20.100000000000001" customHeight="1" x14ac:dyDescent="0.3">
      <c r="B437" s="62">
        <v>45364</v>
      </c>
      <c r="C437" s="63" t="s">
        <v>1322</v>
      </c>
      <c r="D437" s="64">
        <v>123457223</v>
      </c>
      <c r="E437" s="65" t="s">
        <v>484</v>
      </c>
      <c r="F437" s="53" t="s">
        <v>868</v>
      </c>
      <c r="G437" s="66">
        <v>799</v>
      </c>
      <c r="H437" s="67">
        <v>30</v>
      </c>
      <c r="I437" s="67">
        <v>23970</v>
      </c>
      <c r="J437" s="68">
        <v>123456789</v>
      </c>
      <c r="K437" s="69" t="s">
        <v>889</v>
      </c>
    </row>
    <row r="438" spans="2:11" ht="20.100000000000001" customHeight="1" x14ac:dyDescent="0.3">
      <c r="B438" s="62">
        <v>45365</v>
      </c>
      <c r="C438" s="63" t="s">
        <v>1323</v>
      </c>
      <c r="D438" s="64">
        <v>123457224</v>
      </c>
      <c r="E438" s="70" t="s">
        <v>485</v>
      </c>
      <c r="F438" s="111" t="s">
        <v>869</v>
      </c>
      <c r="G438" s="66">
        <v>657</v>
      </c>
      <c r="H438" s="67">
        <v>25</v>
      </c>
      <c r="I438" s="67">
        <v>16425</v>
      </c>
      <c r="J438" s="68">
        <v>123456789</v>
      </c>
      <c r="K438" s="69" t="s">
        <v>887</v>
      </c>
    </row>
    <row r="439" spans="2:11" ht="20.100000000000001" customHeight="1" x14ac:dyDescent="0.3">
      <c r="B439" s="62">
        <v>45366</v>
      </c>
      <c r="C439" s="63" t="s">
        <v>1324</v>
      </c>
      <c r="D439" s="64">
        <v>123457225</v>
      </c>
      <c r="E439" s="65" t="s">
        <v>486</v>
      </c>
      <c r="F439" s="53" t="s">
        <v>868</v>
      </c>
      <c r="G439" s="66">
        <v>890</v>
      </c>
      <c r="H439" s="67">
        <v>22</v>
      </c>
      <c r="I439" s="67">
        <v>19580</v>
      </c>
      <c r="J439" s="68">
        <v>123456789</v>
      </c>
      <c r="K439" s="69" t="s">
        <v>887</v>
      </c>
    </row>
    <row r="440" spans="2:11" ht="20.100000000000001" customHeight="1" x14ac:dyDescent="0.3">
      <c r="B440" s="62">
        <v>45367</v>
      </c>
      <c r="C440" s="63" t="s">
        <v>1325</v>
      </c>
      <c r="D440" s="64">
        <v>123457226</v>
      </c>
      <c r="E440" s="70" t="s">
        <v>487</v>
      </c>
      <c r="F440" s="111" t="s">
        <v>868</v>
      </c>
      <c r="G440" s="66">
        <v>541</v>
      </c>
      <c r="H440" s="67">
        <v>21</v>
      </c>
      <c r="I440" s="67">
        <v>11361</v>
      </c>
      <c r="J440" s="68">
        <v>123456789</v>
      </c>
      <c r="K440" s="69" t="s">
        <v>889</v>
      </c>
    </row>
    <row r="441" spans="2:11" ht="20.100000000000001" customHeight="1" x14ac:dyDescent="0.3">
      <c r="B441" s="62">
        <v>45368</v>
      </c>
      <c r="C441" s="63" t="s">
        <v>1326</v>
      </c>
      <c r="D441" s="64">
        <v>123457227</v>
      </c>
      <c r="E441" s="65" t="s">
        <v>488</v>
      </c>
      <c r="F441" s="53" t="s">
        <v>869</v>
      </c>
      <c r="G441" s="66">
        <v>686</v>
      </c>
      <c r="H441" s="67">
        <v>26</v>
      </c>
      <c r="I441" s="67">
        <v>17836</v>
      </c>
      <c r="J441" s="68">
        <v>123456789</v>
      </c>
      <c r="K441" s="69" t="s">
        <v>887</v>
      </c>
    </row>
    <row r="442" spans="2:11" ht="20.100000000000001" customHeight="1" x14ac:dyDescent="0.3">
      <c r="B442" s="62">
        <v>45369</v>
      </c>
      <c r="C442" s="63" t="s">
        <v>1327</v>
      </c>
      <c r="D442" s="64">
        <v>123457228</v>
      </c>
      <c r="E442" s="70" t="s">
        <v>489</v>
      </c>
      <c r="F442" s="111" t="s">
        <v>868</v>
      </c>
      <c r="G442" s="66">
        <v>603</v>
      </c>
      <c r="H442" s="67">
        <v>25</v>
      </c>
      <c r="I442" s="67">
        <v>15075</v>
      </c>
      <c r="J442" s="68">
        <v>123456789</v>
      </c>
      <c r="K442" s="69" t="s">
        <v>887</v>
      </c>
    </row>
    <row r="443" spans="2:11" ht="20.100000000000001" customHeight="1" x14ac:dyDescent="0.3">
      <c r="B443" s="62">
        <v>45370</v>
      </c>
      <c r="C443" s="63" t="s">
        <v>1328</v>
      </c>
      <c r="D443" s="64">
        <v>123457229</v>
      </c>
      <c r="E443" s="65" t="s">
        <v>490</v>
      </c>
      <c r="F443" s="53" t="s">
        <v>868</v>
      </c>
      <c r="G443" s="66">
        <v>746</v>
      </c>
      <c r="H443" s="67">
        <v>23</v>
      </c>
      <c r="I443" s="67">
        <v>17158</v>
      </c>
      <c r="J443" s="68">
        <v>123456789</v>
      </c>
      <c r="K443" s="69" t="s">
        <v>887</v>
      </c>
    </row>
    <row r="444" spans="2:11" ht="20.100000000000001" customHeight="1" x14ac:dyDescent="0.3">
      <c r="B444" s="62">
        <v>45371</v>
      </c>
      <c r="C444" s="63" t="s">
        <v>1329</v>
      </c>
      <c r="D444" s="64">
        <v>123457230</v>
      </c>
      <c r="E444" s="70" t="s">
        <v>491</v>
      </c>
      <c r="F444" s="111" t="s">
        <v>868</v>
      </c>
      <c r="G444" s="66">
        <v>802</v>
      </c>
      <c r="H444" s="67">
        <v>30</v>
      </c>
      <c r="I444" s="67">
        <v>24060</v>
      </c>
      <c r="J444" s="68">
        <v>123456789</v>
      </c>
      <c r="K444" s="69" t="s">
        <v>887</v>
      </c>
    </row>
    <row r="445" spans="2:11" ht="20.100000000000001" customHeight="1" x14ac:dyDescent="0.3">
      <c r="B445" s="62">
        <v>45372</v>
      </c>
      <c r="C445" s="63" t="s">
        <v>1330</v>
      </c>
      <c r="D445" s="64">
        <v>123457231</v>
      </c>
      <c r="E445" s="65" t="s">
        <v>492</v>
      </c>
      <c r="F445" s="53" t="s">
        <v>868</v>
      </c>
      <c r="G445" s="66">
        <v>909</v>
      </c>
      <c r="H445" s="67">
        <v>24</v>
      </c>
      <c r="I445" s="67">
        <v>21816</v>
      </c>
      <c r="J445" s="68">
        <v>123456789</v>
      </c>
      <c r="K445" s="69" t="s">
        <v>887</v>
      </c>
    </row>
    <row r="446" spans="2:11" ht="20.100000000000001" customHeight="1" x14ac:dyDescent="0.3">
      <c r="B446" s="62">
        <v>45373</v>
      </c>
      <c r="C446" s="63" t="s">
        <v>1331</v>
      </c>
      <c r="D446" s="64">
        <v>123457232</v>
      </c>
      <c r="E446" s="70" t="s">
        <v>493</v>
      </c>
      <c r="F446" s="111" t="s">
        <v>868</v>
      </c>
      <c r="G446" s="66">
        <v>772</v>
      </c>
      <c r="H446" s="67">
        <v>26</v>
      </c>
      <c r="I446" s="67">
        <v>20072</v>
      </c>
      <c r="J446" s="68">
        <v>123456789</v>
      </c>
      <c r="K446" s="69" t="s">
        <v>887</v>
      </c>
    </row>
    <row r="447" spans="2:11" ht="20.100000000000001" customHeight="1" x14ac:dyDescent="0.3">
      <c r="B447" s="62">
        <v>45374</v>
      </c>
      <c r="C447" s="63" t="s">
        <v>1332</v>
      </c>
      <c r="D447" s="64">
        <v>123457233</v>
      </c>
      <c r="E447" s="65" t="s">
        <v>494</v>
      </c>
      <c r="F447" s="53" t="s">
        <v>868</v>
      </c>
      <c r="G447" s="66">
        <v>684</v>
      </c>
      <c r="H447" s="67">
        <v>25</v>
      </c>
      <c r="I447" s="67">
        <v>17100</v>
      </c>
      <c r="J447" s="68">
        <v>123456789</v>
      </c>
      <c r="K447" s="69" t="s">
        <v>887</v>
      </c>
    </row>
    <row r="448" spans="2:11" ht="20.100000000000001" customHeight="1" x14ac:dyDescent="0.3">
      <c r="B448" s="62">
        <v>45375</v>
      </c>
      <c r="C448" s="63" t="s">
        <v>1333</v>
      </c>
      <c r="D448" s="64">
        <v>123457234</v>
      </c>
      <c r="E448" s="70" t="s">
        <v>495</v>
      </c>
      <c r="F448" s="111" t="s">
        <v>868</v>
      </c>
      <c r="G448" s="66">
        <v>937</v>
      </c>
      <c r="H448" s="67">
        <v>24</v>
      </c>
      <c r="I448" s="67">
        <v>22488</v>
      </c>
      <c r="J448" s="68">
        <v>123456789</v>
      </c>
      <c r="K448" s="69" t="s">
        <v>887</v>
      </c>
    </row>
    <row r="449" spans="2:11" ht="20.100000000000001" customHeight="1" x14ac:dyDescent="0.3">
      <c r="B449" s="62">
        <v>45376</v>
      </c>
      <c r="C449" s="63" t="s">
        <v>1334</v>
      </c>
      <c r="D449" s="64">
        <v>123457235</v>
      </c>
      <c r="E449" s="65" t="s">
        <v>496</v>
      </c>
      <c r="F449" s="53" t="s">
        <v>869</v>
      </c>
      <c r="G449" s="66">
        <v>849</v>
      </c>
      <c r="H449" s="67">
        <v>24</v>
      </c>
      <c r="I449" s="67">
        <v>20376</v>
      </c>
      <c r="J449" s="68">
        <v>123456789</v>
      </c>
      <c r="K449" s="69" t="s">
        <v>887</v>
      </c>
    </row>
    <row r="450" spans="2:11" ht="20.100000000000001" customHeight="1" x14ac:dyDescent="0.3">
      <c r="B450" s="62">
        <v>45377</v>
      </c>
      <c r="C450" s="63" t="s">
        <v>1335</v>
      </c>
      <c r="D450" s="64">
        <v>123457236</v>
      </c>
      <c r="E450" s="70" t="s">
        <v>497</v>
      </c>
      <c r="F450" s="111" t="s">
        <v>869</v>
      </c>
      <c r="G450" s="66">
        <v>981</v>
      </c>
      <c r="H450" s="67">
        <v>21</v>
      </c>
      <c r="I450" s="67">
        <v>20601</v>
      </c>
      <c r="J450" s="68">
        <v>123456789</v>
      </c>
      <c r="K450" s="69" t="s">
        <v>889</v>
      </c>
    </row>
    <row r="451" spans="2:11" ht="20.100000000000001" customHeight="1" x14ac:dyDescent="0.3">
      <c r="B451" s="62">
        <v>45378</v>
      </c>
      <c r="C451" s="63" t="s">
        <v>1336</v>
      </c>
      <c r="D451" s="64">
        <v>123457237</v>
      </c>
      <c r="E451" s="65" t="s">
        <v>498</v>
      </c>
      <c r="F451" s="53" t="s">
        <v>868</v>
      </c>
      <c r="G451" s="66">
        <v>777</v>
      </c>
      <c r="H451" s="67">
        <v>29</v>
      </c>
      <c r="I451" s="67">
        <v>22533</v>
      </c>
      <c r="J451" s="68">
        <v>123456789</v>
      </c>
      <c r="K451" s="69" t="s">
        <v>889</v>
      </c>
    </row>
    <row r="452" spans="2:11" ht="20.100000000000001" customHeight="1" x14ac:dyDescent="0.3">
      <c r="B452" s="62">
        <v>45379</v>
      </c>
      <c r="C452" s="63" t="s">
        <v>1337</v>
      </c>
      <c r="D452" s="64">
        <v>123457238</v>
      </c>
      <c r="E452" s="70" t="s">
        <v>499</v>
      </c>
      <c r="F452" s="111" t="s">
        <v>868</v>
      </c>
      <c r="G452" s="66">
        <v>795</v>
      </c>
      <c r="H452" s="67">
        <v>30</v>
      </c>
      <c r="I452" s="67">
        <v>23850</v>
      </c>
      <c r="J452" s="68">
        <v>123456789</v>
      </c>
      <c r="K452" s="69" t="s">
        <v>887</v>
      </c>
    </row>
    <row r="453" spans="2:11" ht="20.100000000000001" customHeight="1" x14ac:dyDescent="0.3">
      <c r="B453" s="62">
        <v>45380</v>
      </c>
      <c r="C453" s="63" t="s">
        <v>1338</v>
      </c>
      <c r="D453" s="64">
        <v>123457239</v>
      </c>
      <c r="E453" s="65" t="s">
        <v>500</v>
      </c>
      <c r="F453" s="53" t="s">
        <v>869</v>
      </c>
      <c r="G453" s="66">
        <v>571</v>
      </c>
      <c r="H453" s="67">
        <v>30</v>
      </c>
      <c r="I453" s="67">
        <v>17130</v>
      </c>
      <c r="J453" s="68">
        <v>123456789</v>
      </c>
      <c r="K453" s="69" t="s">
        <v>887</v>
      </c>
    </row>
    <row r="454" spans="2:11" ht="20.100000000000001" customHeight="1" x14ac:dyDescent="0.3">
      <c r="B454" s="62">
        <v>45381</v>
      </c>
      <c r="C454" s="63" t="s">
        <v>1339</v>
      </c>
      <c r="D454" s="64">
        <v>123457240</v>
      </c>
      <c r="E454" s="70" t="s">
        <v>501</v>
      </c>
      <c r="F454" s="111" t="s">
        <v>868</v>
      </c>
      <c r="G454" s="66">
        <v>563</v>
      </c>
      <c r="H454" s="67">
        <v>27</v>
      </c>
      <c r="I454" s="67">
        <v>15201</v>
      </c>
      <c r="J454" s="68">
        <v>123456789</v>
      </c>
      <c r="K454" s="69" t="s">
        <v>887</v>
      </c>
    </row>
    <row r="455" spans="2:11" ht="20.100000000000001" customHeight="1" x14ac:dyDescent="0.3">
      <c r="B455" s="62">
        <v>45382</v>
      </c>
      <c r="C455" s="63" t="s">
        <v>1340</v>
      </c>
      <c r="D455" s="64">
        <v>123457241</v>
      </c>
      <c r="E455" s="65" t="s">
        <v>502</v>
      </c>
      <c r="F455" s="53" t="s">
        <v>868</v>
      </c>
      <c r="G455" s="66">
        <v>570</v>
      </c>
      <c r="H455" s="67">
        <v>26</v>
      </c>
      <c r="I455" s="67">
        <v>14820</v>
      </c>
      <c r="J455" s="68">
        <v>123456789</v>
      </c>
      <c r="K455" s="69" t="s">
        <v>887</v>
      </c>
    </row>
    <row r="456" spans="2:11" ht="20.100000000000001" customHeight="1" x14ac:dyDescent="0.3">
      <c r="B456" s="62">
        <v>45383</v>
      </c>
      <c r="C456" s="63" t="s">
        <v>1341</v>
      </c>
      <c r="D456" s="64">
        <v>123457242</v>
      </c>
      <c r="E456" s="70" t="s">
        <v>503</v>
      </c>
      <c r="F456" s="111" t="s">
        <v>868</v>
      </c>
      <c r="G456" s="66">
        <v>673</v>
      </c>
      <c r="H456" s="67">
        <v>21</v>
      </c>
      <c r="I456" s="67">
        <v>14133</v>
      </c>
      <c r="J456" s="68">
        <v>123456789</v>
      </c>
      <c r="K456" s="69" t="s">
        <v>887</v>
      </c>
    </row>
    <row r="457" spans="2:11" ht="20.100000000000001" customHeight="1" x14ac:dyDescent="0.3">
      <c r="B457" s="62">
        <v>45384</v>
      </c>
      <c r="C457" s="63" t="s">
        <v>1342</v>
      </c>
      <c r="D457" s="64">
        <v>123457243</v>
      </c>
      <c r="E457" s="65" t="s">
        <v>504</v>
      </c>
      <c r="F457" s="53" t="s">
        <v>868</v>
      </c>
      <c r="G457" s="66">
        <v>597</v>
      </c>
      <c r="H457" s="67">
        <v>26</v>
      </c>
      <c r="I457" s="67">
        <v>15522</v>
      </c>
      <c r="J457" s="68">
        <v>123456789</v>
      </c>
      <c r="K457" s="69" t="s">
        <v>887</v>
      </c>
    </row>
    <row r="458" spans="2:11" ht="20.100000000000001" customHeight="1" x14ac:dyDescent="0.3">
      <c r="B458" s="62">
        <v>45385</v>
      </c>
      <c r="C458" s="63" t="s">
        <v>1343</v>
      </c>
      <c r="D458" s="64">
        <v>123457244</v>
      </c>
      <c r="E458" s="70" t="s">
        <v>505</v>
      </c>
      <c r="F458" s="111" t="s">
        <v>868</v>
      </c>
      <c r="G458" s="66">
        <v>723</v>
      </c>
      <c r="H458" s="67">
        <v>29</v>
      </c>
      <c r="I458" s="67">
        <v>20967</v>
      </c>
      <c r="J458" s="68">
        <v>123456789</v>
      </c>
      <c r="K458" s="69" t="s">
        <v>887</v>
      </c>
    </row>
    <row r="459" spans="2:11" ht="20.100000000000001" customHeight="1" x14ac:dyDescent="0.3">
      <c r="B459" s="62">
        <v>45386</v>
      </c>
      <c r="C459" s="63" t="s">
        <v>1344</v>
      </c>
      <c r="D459" s="64">
        <v>123457245</v>
      </c>
      <c r="E459" s="65" t="s">
        <v>506</v>
      </c>
      <c r="F459" s="53" t="s">
        <v>869</v>
      </c>
      <c r="G459" s="66">
        <v>695</v>
      </c>
      <c r="H459" s="67">
        <v>28</v>
      </c>
      <c r="I459" s="67">
        <v>19460</v>
      </c>
      <c r="J459" s="68">
        <v>123456789</v>
      </c>
      <c r="K459" s="69" t="s">
        <v>889</v>
      </c>
    </row>
    <row r="460" spans="2:11" ht="20.100000000000001" customHeight="1" x14ac:dyDescent="0.3">
      <c r="B460" s="62">
        <v>45387</v>
      </c>
      <c r="C460" s="63" t="s">
        <v>1345</v>
      </c>
      <c r="D460" s="64">
        <v>123457246</v>
      </c>
      <c r="E460" s="70" t="s">
        <v>507</v>
      </c>
      <c r="F460" s="111" t="s">
        <v>869</v>
      </c>
      <c r="G460" s="66">
        <v>921</v>
      </c>
      <c r="H460" s="67">
        <v>21</v>
      </c>
      <c r="I460" s="67">
        <v>19341</v>
      </c>
      <c r="J460" s="68">
        <v>123456789</v>
      </c>
      <c r="K460" s="69" t="s">
        <v>889</v>
      </c>
    </row>
    <row r="461" spans="2:11" ht="20.100000000000001" customHeight="1" x14ac:dyDescent="0.3">
      <c r="B461" s="62">
        <v>45388</v>
      </c>
      <c r="C461" s="63" t="s">
        <v>1346</v>
      </c>
      <c r="D461" s="64">
        <v>123457247</v>
      </c>
      <c r="E461" s="65" t="s">
        <v>508</v>
      </c>
      <c r="F461" s="53" t="s">
        <v>868</v>
      </c>
      <c r="G461" s="66">
        <v>800</v>
      </c>
      <c r="H461" s="67">
        <v>26</v>
      </c>
      <c r="I461" s="67">
        <v>20800</v>
      </c>
      <c r="J461" s="68">
        <v>123456789</v>
      </c>
      <c r="K461" s="69" t="s">
        <v>887</v>
      </c>
    </row>
    <row r="462" spans="2:11" ht="20.100000000000001" customHeight="1" x14ac:dyDescent="0.3">
      <c r="B462" s="62">
        <v>45389</v>
      </c>
      <c r="C462" s="63" t="s">
        <v>1347</v>
      </c>
      <c r="D462" s="64">
        <v>123457248</v>
      </c>
      <c r="E462" s="70" t="s">
        <v>509</v>
      </c>
      <c r="F462" s="111" t="s">
        <v>868</v>
      </c>
      <c r="G462" s="66">
        <v>828</v>
      </c>
      <c r="H462" s="67">
        <v>28</v>
      </c>
      <c r="I462" s="67">
        <v>23184</v>
      </c>
      <c r="J462" s="68">
        <v>123456789</v>
      </c>
      <c r="K462" s="69" t="s">
        <v>887</v>
      </c>
    </row>
    <row r="463" spans="2:11" ht="20.100000000000001" customHeight="1" x14ac:dyDescent="0.3">
      <c r="B463" s="62">
        <v>45390</v>
      </c>
      <c r="C463" s="63" t="s">
        <v>1348</v>
      </c>
      <c r="D463" s="64">
        <v>123457249</v>
      </c>
      <c r="E463" s="65" t="s">
        <v>510</v>
      </c>
      <c r="F463" s="53" t="s">
        <v>868</v>
      </c>
      <c r="G463" s="66">
        <v>676</v>
      </c>
      <c r="H463" s="67">
        <v>21</v>
      </c>
      <c r="I463" s="67">
        <v>14196</v>
      </c>
      <c r="J463" s="68">
        <v>123456789</v>
      </c>
      <c r="K463" s="69" t="s">
        <v>889</v>
      </c>
    </row>
    <row r="464" spans="2:11" ht="20.100000000000001" customHeight="1" x14ac:dyDescent="0.3">
      <c r="B464" s="62">
        <v>45391</v>
      </c>
      <c r="C464" s="63" t="s">
        <v>1349</v>
      </c>
      <c r="D464" s="64">
        <v>123457250</v>
      </c>
      <c r="E464" s="70" t="s">
        <v>511</v>
      </c>
      <c r="F464" s="111" t="s">
        <v>868</v>
      </c>
      <c r="G464" s="66">
        <v>941</v>
      </c>
      <c r="H464" s="67">
        <v>24</v>
      </c>
      <c r="I464" s="67">
        <v>22584</v>
      </c>
      <c r="J464" s="68">
        <v>123456789</v>
      </c>
      <c r="K464" s="69" t="s">
        <v>887</v>
      </c>
    </row>
    <row r="465" spans="2:11" ht="20.100000000000001" customHeight="1" x14ac:dyDescent="0.3">
      <c r="B465" s="62">
        <v>45392</v>
      </c>
      <c r="C465" s="63" t="s">
        <v>1350</v>
      </c>
      <c r="D465" s="64">
        <v>123457251</v>
      </c>
      <c r="E465" s="65" t="s">
        <v>512</v>
      </c>
      <c r="F465" s="53" t="s">
        <v>868</v>
      </c>
      <c r="G465" s="66">
        <v>903</v>
      </c>
      <c r="H465" s="67">
        <v>24</v>
      </c>
      <c r="I465" s="67">
        <v>21672</v>
      </c>
      <c r="J465" s="68">
        <v>123456789</v>
      </c>
      <c r="K465" s="69" t="s">
        <v>887</v>
      </c>
    </row>
    <row r="466" spans="2:11" ht="20.100000000000001" customHeight="1" x14ac:dyDescent="0.3">
      <c r="B466" s="62">
        <v>45393</v>
      </c>
      <c r="C466" s="63" t="s">
        <v>1351</v>
      </c>
      <c r="D466" s="64">
        <v>123457252</v>
      </c>
      <c r="E466" s="70" t="s">
        <v>513</v>
      </c>
      <c r="F466" s="111" t="s">
        <v>868</v>
      </c>
      <c r="G466" s="66">
        <v>529</v>
      </c>
      <c r="H466" s="67">
        <v>27</v>
      </c>
      <c r="I466" s="67">
        <v>14283</v>
      </c>
      <c r="J466" s="68">
        <v>123456789</v>
      </c>
      <c r="K466" s="69" t="s">
        <v>887</v>
      </c>
    </row>
    <row r="467" spans="2:11" ht="20.100000000000001" customHeight="1" x14ac:dyDescent="0.3">
      <c r="B467" s="62">
        <v>45394</v>
      </c>
      <c r="C467" s="63" t="s">
        <v>1352</v>
      </c>
      <c r="D467" s="64">
        <v>123457253</v>
      </c>
      <c r="E467" s="65" t="s">
        <v>514</v>
      </c>
      <c r="F467" s="53" t="s">
        <v>868</v>
      </c>
      <c r="G467" s="66">
        <v>834</v>
      </c>
      <c r="H467" s="67">
        <v>21</v>
      </c>
      <c r="I467" s="67">
        <v>17514</v>
      </c>
      <c r="J467" s="68">
        <v>123456789</v>
      </c>
      <c r="K467" s="69" t="s">
        <v>887</v>
      </c>
    </row>
    <row r="468" spans="2:11" ht="20.100000000000001" customHeight="1" x14ac:dyDescent="0.3">
      <c r="B468" s="62">
        <v>45395</v>
      </c>
      <c r="C468" s="63" t="s">
        <v>1353</v>
      </c>
      <c r="D468" s="64">
        <v>123457254</v>
      </c>
      <c r="E468" s="70" t="s">
        <v>515</v>
      </c>
      <c r="F468" s="111" t="s">
        <v>868</v>
      </c>
      <c r="G468" s="66">
        <v>961</v>
      </c>
      <c r="H468" s="67">
        <v>27</v>
      </c>
      <c r="I468" s="67">
        <v>25947</v>
      </c>
      <c r="J468" s="68">
        <v>123456789</v>
      </c>
      <c r="K468" s="69" t="s">
        <v>887</v>
      </c>
    </row>
    <row r="469" spans="2:11" ht="20.100000000000001" customHeight="1" x14ac:dyDescent="0.3">
      <c r="B469" s="62">
        <v>45396</v>
      </c>
      <c r="C469" s="63" t="s">
        <v>1354</v>
      </c>
      <c r="D469" s="64">
        <v>123457255</v>
      </c>
      <c r="E469" s="65" t="s">
        <v>516</v>
      </c>
      <c r="F469" s="53" t="s">
        <v>868</v>
      </c>
      <c r="G469" s="66">
        <v>649</v>
      </c>
      <c r="H469" s="67">
        <v>25</v>
      </c>
      <c r="I469" s="67">
        <v>16225</v>
      </c>
      <c r="J469" s="68">
        <v>123456789</v>
      </c>
      <c r="K469" s="69" t="s">
        <v>887</v>
      </c>
    </row>
    <row r="470" spans="2:11" ht="20.100000000000001" customHeight="1" x14ac:dyDescent="0.3">
      <c r="B470" s="62">
        <v>45397</v>
      </c>
      <c r="C470" s="63" t="s">
        <v>1355</v>
      </c>
      <c r="D470" s="64">
        <v>123457256</v>
      </c>
      <c r="E470" s="70" t="s">
        <v>517</v>
      </c>
      <c r="F470" s="111" t="s">
        <v>868</v>
      </c>
      <c r="G470" s="66">
        <v>784</v>
      </c>
      <c r="H470" s="67">
        <v>22</v>
      </c>
      <c r="I470" s="67">
        <v>17248</v>
      </c>
      <c r="J470" s="68">
        <v>123456789</v>
      </c>
      <c r="K470" s="69" t="s">
        <v>887</v>
      </c>
    </row>
    <row r="471" spans="2:11" ht="20.100000000000001" customHeight="1" x14ac:dyDescent="0.3">
      <c r="B471" s="62">
        <v>45398</v>
      </c>
      <c r="C471" s="63" t="s">
        <v>1356</v>
      </c>
      <c r="D471" s="64">
        <v>123457257</v>
      </c>
      <c r="E471" s="65" t="s">
        <v>518</v>
      </c>
      <c r="F471" s="53" t="s">
        <v>868</v>
      </c>
      <c r="G471" s="66">
        <v>868</v>
      </c>
      <c r="H471" s="67">
        <v>26</v>
      </c>
      <c r="I471" s="67">
        <v>22568</v>
      </c>
      <c r="J471" s="68">
        <v>123456789</v>
      </c>
      <c r="K471" s="69" t="s">
        <v>887</v>
      </c>
    </row>
    <row r="472" spans="2:11" ht="20.100000000000001" customHeight="1" x14ac:dyDescent="0.3">
      <c r="B472" s="62">
        <v>45399</v>
      </c>
      <c r="C472" s="63" t="s">
        <v>1357</v>
      </c>
      <c r="D472" s="64">
        <v>123457258</v>
      </c>
      <c r="E472" s="70" t="s">
        <v>519</v>
      </c>
      <c r="F472" s="111" t="s">
        <v>868</v>
      </c>
      <c r="G472" s="66">
        <v>555</v>
      </c>
      <c r="H472" s="67">
        <v>31</v>
      </c>
      <c r="I472" s="67">
        <v>17205</v>
      </c>
      <c r="J472" s="68">
        <v>123456789</v>
      </c>
      <c r="K472" s="69" t="s">
        <v>887</v>
      </c>
    </row>
    <row r="473" spans="2:11" ht="20.100000000000001" customHeight="1" x14ac:dyDescent="0.3">
      <c r="B473" s="62">
        <v>45400</v>
      </c>
      <c r="C473" s="63" t="s">
        <v>1358</v>
      </c>
      <c r="D473" s="64">
        <v>123457259</v>
      </c>
      <c r="E473" s="65" t="s">
        <v>520</v>
      </c>
      <c r="F473" s="53" t="s">
        <v>868</v>
      </c>
      <c r="G473" s="66">
        <v>634</v>
      </c>
      <c r="H473" s="67">
        <v>27</v>
      </c>
      <c r="I473" s="67">
        <v>17118</v>
      </c>
      <c r="J473" s="68">
        <v>123456789</v>
      </c>
      <c r="K473" s="69" t="s">
        <v>887</v>
      </c>
    </row>
    <row r="474" spans="2:11" ht="20.100000000000001" customHeight="1" x14ac:dyDescent="0.3">
      <c r="B474" s="62">
        <v>45401</v>
      </c>
      <c r="C474" s="63" t="s">
        <v>1359</v>
      </c>
      <c r="D474" s="64">
        <v>123457260</v>
      </c>
      <c r="E474" s="70" t="s">
        <v>521</v>
      </c>
      <c r="F474" s="111" t="s">
        <v>868</v>
      </c>
      <c r="G474" s="66">
        <v>846</v>
      </c>
      <c r="H474" s="67">
        <v>31</v>
      </c>
      <c r="I474" s="67">
        <v>26226</v>
      </c>
      <c r="J474" s="68">
        <v>123456789</v>
      </c>
      <c r="K474" s="69" t="s">
        <v>887</v>
      </c>
    </row>
    <row r="475" spans="2:11" ht="20.100000000000001" customHeight="1" x14ac:dyDescent="0.3">
      <c r="B475" s="62">
        <v>45402</v>
      </c>
      <c r="C475" s="63" t="s">
        <v>1360</v>
      </c>
      <c r="D475" s="64">
        <v>123457261</v>
      </c>
      <c r="E475" s="65" t="s">
        <v>522</v>
      </c>
      <c r="F475" s="53" t="s">
        <v>868</v>
      </c>
      <c r="G475" s="66">
        <v>723</v>
      </c>
      <c r="H475" s="67">
        <v>30</v>
      </c>
      <c r="I475" s="67">
        <v>21690</v>
      </c>
      <c r="J475" s="68">
        <v>123456789</v>
      </c>
      <c r="K475" s="69" t="s">
        <v>889</v>
      </c>
    </row>
    <row r="476" spans="2:11" ht="20.100000000000001" customHeight="1" x14ac:dyDescent="0.3">
      <c r="B476" s="62">
        <v>45403</v>
      </c>
      <c r="C476" s="63" t="s">
        <v>1361</v>
      </c>
      <c r="D476" s="64">
        <v>123457262</v>
      </c>
      <c r="E476" s="70" t="s">
        <v>523</v>
      </c>
      <c r="F476" s="111" t="s">
        <v>868</v>
      </c>
      <c r="G476" s="66">
        <v>748</v>
      </c>
      <c r="H476" s="67">
        <v>30</v>
      </c>
      <c r="I476" s="67">
        <v>22440</v>
      </c>
      <c r="J476" s="68">
        <v>123456789</v>
      </c>
      <c r="K476" s="69" t="s">
        <v>887</v>
      </c>
    </row>
    <row r="477" spans="2:11" ht="20.100000000000001" customHeight="1" x14ac:dyDescent="0.3">
      <c r="B477" s="62">
        <v>45404</v>
      </c>
      <c r="C477" s="63" t="s">
        <v>1362</v>
      </c>
      <c r="D477" s="64">
        <v>123457263</v>
      </c>
      <c r="E477" s="65" t="s">
        <v>524</v>
      </c>
      <c r="F477" s="53" t="s">
        <v>868</v>
      </c>
      <c r="G477" s="66">
        <v>739</v>
      </c>
      <c r="H477" s="67">
        <v>31</v>
      </c>
      <c r="I477" s="67">
        <v>22909</v>
      </c>
      <c r="J477" s="68">
        <v>123456789</v>
      </c>
      <c r="K477" s="69" t="s">
        <v>889</v>
      </c>
    </row>
    <row r="478" spans="2:11" ht="20.100000000000001" customHeight="1" x14ac:dyDescent="0.3">
      <c r="B478" s="62">
        <v>45405</v>
      </c>
      <c r="C478" s="63" t="s">
        <v>1363</v>
      </c>
      <c r="D478" s="64">
        <v>123457264</v>
      </c>
      <c r="E478" s="70" t="s">
        <v>525</v>
      </c>
      <c r="F478" s="111" t="s">
        <v>868</v>
      </c>
      <c r="G478" s="66">
        <v>518</v>
      </c>
      <c r="H478" s="67">
        <v>24</v>
      </c>
      <c r="I478" s="67">
        <v>12432</v>
      </c>
      <c r="J478" s="68">
        <v>123456789</v>
      </c>
      <c r="K478" s="69" t="s">
        <v>887</v>
      </c>
    </row>
    <row r="479" spans="2:11" ht="20.100000000000001" customHeight="1" x14ac:dyDescent="0.3">
      <c r="B479" s="62">
        <v>45406</v>
      </c>
      <c r="C479" s="63" t="s">
        <v>1364</v>
      </c>
      <c r="D479" s="64">
        <v>123457265</v>
      </c>
      <c r="E479" s="65" t="s">
        <v>526</v>
      </c>
      <c r="F479" s="53" t="s">
        <v>869</v>
      </c>
      <c r="G479" s="66">
        <v>875</v>
      </c>
      <c r="H479" s="67">
        <v>25</v>
      </c>
      <c r="I479" s="67">
        <v>21875</v>
      </c>
      <c r="J479" s="68">
        <v>123456789</v>
      </c>
      <c r="K479" s="69" t="s">
        <v>887</v>
      </c>
    </row>
    <row r="480" spans="2:11" ht="20.100000000000001" customHeight="1" x14ac:dyDescent="0.3">
      <c r="B480" s="62">
        <v>45407</v>
      </c>
      <c r="C480" s="63" t="s">
        <v>1365</v>
      </c>
      <c r="D480" s="64">
        <v>123457266</v>
      </c>
      <c r="E480" s="70" t="s">
        <v>527</v>
      </c>
      <c r="F480" s="111" t="s">
        <v>869</v>
      </c>
      <c r="G480" s="66">
        <v>865</v>
      </c>
      <c r="H480" s="67">
        <v>26</v>
      </c>
      <c r="I480" s="67">
        <v>22490</v>
      </c>
      <c r="J480" s="68">
        <v>123456789</v>
      </c>
      <c r="K480" s="69" t="s">
        <v>889</v>
      </c>
    </row>
    <row r="481" spans="2:11" ht="20.100000000000001" customHeight="1" x14ac:dyDescent="0.3">
      <c r="B481" s="62">
        <v>45408</v>
      </c>
      <c r="C481" s="63" t="s">
        <v>1366</v>
      </c>
      <c r="D481" s="64">
        <v>123457267</v>
      </c>
      <c r="E481" s="65" t="s">
        <v>528</v>
      </c>
      <c r="F481" s="53" t="s">
        <v>869</v>
      </c>
      <c r="G481" s="66">
        <v>854</v>
      </c>
      <c r="H481" s="67">
        <v>28</v>
      </c>
      <c r="I481" s="67">
        <v>23912</v>
      </c>
      <c r="J481" s="68">
        <v>123456789</v>
      </c>
      <c r="K481" s="69" t="s">
        <v>887</v>
      </c>
    </row>
    <row r="482" spans="2:11" ht="20.100000000000001" customHeight="1" x14ac:dyDescent="0.3">
      <c r="B482" s="62">
        <v>45409</v>
      </c>
      <c r="C482" s="63" t="s">
        <v>1367</v>
      </c>
      <c r="D482" s="64">
        <v>123457268</v>
      </c>
      <c r="E482" s="70" t="s">
        <v>529</v>
      </c>
      <c r="F482" s="111" t="s">
        <v>869</v>
      </c>
      <c r="G482" s="66">
        <v>823</v>
      </c>
      <c r="H482" s="67">
        <v>30</v>
      </c>
      <c r="I482" s="67">
        <v>24690</v>
      </c>
      <c r="J482" s="68">
        <v>123456789</v>
      </c>
      <c r="K482" s="69" t="s">
        <v>887</v>
      </c>
    </row>
    <row r="483" spans="2:11" ht="20.100000000000001" customHeight="1" x14ac:dyDescent="0.3">
      <c r="B483" s="62">
        <v>45410</v>
      </c>
      <c r="C483" s="63" t="s">
        <v>1368</v>
      </c>
      <c r="D483" s="64">
        <v>123457269</v>
      </c>
      <c r="E483" s="65" t="s">
        <v>530</v>
      </c>
      <c r="F483" s="53" t="s">
        <v>868</v>
      </c>
      <c r="G483" s="66">
        <v>817</v>
      </c>
      <c r="H483" s="67">
        <v>27</v>
      </c>
      <c r="I483" s="67">
        <v>22059</v>
      </c>
      <c r="J483" s="68">
        <v>123456789</v>
      </c>
      <c r="K483" s="69" t="s">
        <v>889</v>
      </c>
    </row>
    <row r="484" spans="2:11" ht="20.100000000000001" customHeight="1" x14ac:dyDescent="0.3">
      <c r="B484" s="62">
        <v>45411</v>
      </c>
      <c r="C484" s="63" t="s">
        <v>1369</v>
      </c>
      <c r="D484" s="64">
        <v>123457270</v>
      </c>
      <c r="E484" s="70" t="s">
        <v>531</v>
      </c>
      <c r="F484" s="111" t="s">
        <v>868</v>
      </c>
      <c r="G484" s="66">
        <v>572</v>
      </c>
      <c r="H484" s="67">
        <v>21</v>
      </c>
      <c r="I484" s="67">
        <v>12012</v>
      </c>
      <c r="J484" s="68">
        <v>123456789</v>
      </c>
      <c r="K484" s="69" t="s">
        <v>887</v>
      </c>
    </row>
    <row r="485" spans="2:11" ht="20.100000000000001" customHeight="1" x14ac:dyDescent="0.3">
      <c r="B485" s="62">
        <v>45412</v>
      </c>
      <c r="C485" s="63" t="s">
        <v>1370</v>
      </c>
      <c r="D485" s="64">
        <v>123457271</v>
      </c>
      <c r="E485" s="65" t="s">
        <v>532</v>
      </c>
      <c r="F485" s="53" t="s">
        <v>868</v>
      </c>
      <c r="G485" s="66">
        <v>794</v>
      </c>
      <c r="H485" s="67">
        <v>25</v>
      </c>
      <c r="I485" s="67">
        <v>19850</v>
      </c>
      <c r="J485" s="68">
        <v>123456789</v>
      </c>
      <c r="K485" s="69" t="s">
        <v>889</v>
      </c>
    </row>
    <row r="486" spans="2:11" ht="20.100000000000001" customHeight="1" x14ac:dyDescent="0.3">
      <c r="B486" s="62">
        <v>45413</v>
      </c>
      <c r="C486" s="63" t="s">
        <v>1371</v>
      </c>
      <c r="D486" s="64">
        <v>123457272</v>
      </c>
      <c r="E486" s="70" t="s">
        <v>533</v>
      </c>
      <c r="F486" s="111" t="s">
        <v>868</v>
      </c>
      <c r="G486" s="66">
        <v>970</v>
      </c>
      <c r="H486" s="67">
        <v>31</v>
      </c>
      <c r="I486" s="67">
        <v>30070</v>
      </c>
      <c r="J486" s="68">
        <v>123456789</v>
      </c>
      <c r="K486" s="69" t="s">
        <v>887</v>
      </c>
    </row>
    <row r="487" spans="2:11" ht="20.100000000000001" customHeight="1" x14ac:dyDescent="0.3">
      <c r="B487" s="62">
        <v>45414</v>
      </c>
      <c r="C487" s="63" t="s">
        <v>1372</v>
      </c>
      <c r="D487" s="64">
        <v>123457273</v>
      </c>
      <c r="E487" s="65" t="s">
        <v>534</v>
      </c>
      <c r="F487" s="53" t="s">
        <v>868</v>
      </c>
      <c r="G487" s="66">
        <v>854</v>
      </c>
      <c r="H487" s="67">
        <v>28</v>
      </c>
      <c r="I487" s="67">
        <v>23912</v>
      </c>
      <c r="J487" s="68">
        <v>123456789</v>
      </c>
      <c r="K487" s="69" t="s">
        <v>887</v>
      </c>
    </row>
    <row r="488" spans="2:11" ht="20.100000000000001" customHeight="1" x14ac:dyDescent="0.3">
      <c r="B488" s="62">
        <v>45415</v>
      </c>
      <c r="C488" s="63" t="s">
        <v>1373</v>
      </c>
      <c r="D488" s="64">
        <v>123457274</v>
      </c>
      <c r="E488" s="70" t="s">
        <v>535</v>
      </c>
      <c r="F488" s="111" t="s">
        <v>869</v>
      </c>
      <c r="G488" s="66">
        <v>741</v>
      </c>
      <c r="H488" s="67">
        <v>22</v>
      </c>
      <c r="I488" s="67">
        <v>16302</v>
      </c>
      <c r="J488" s="68">
        <v>123456789</v>
      </c>
      <c r="K488" s="69" t="s">
        <v>887</v>
      </c>
    </row>
    <row r="489" spans="2:11" ht="20.100000000000001" customHeight="1" x14ac:dyDescent="0.3">
      <c r="B489" s="62">
        <v>45416</v>
      </c>
      <c r="C489" s="63" t="s">
        <v>1374</v>
      </c>
      <c r="D489" s="64">
        <v>123457275</v>
      </c>
      <c r="E489" s="65" t="s">
        <v>536</v>
      </c>
      <c r="F489" s="53" t="s">
        <v>868</v>
      </c>
      <c r="G489" s="66">
        <v>565</v>
      </c>
      <c r="H489" s="67">
        <v>24</v>
      </c>
      <c r="I489" s="67">
        <v>13560</v>
      </c>
      <c r="J489" s="68">
        <v>123456789</v>
      </c>
      <c r="K489" s="69" t="s">
        <v>889</v>
      </c>
    </row>
    <row r="490" spans="2:11" ht="20.100000000000001" customHeight="1" x14ac:dyDescent="0.3">
      <c r="B490" s="62">
        <v>45417</v>
      </c>
      <c r="C490" s="63" t="s">
        <v>1375</v>
      </c>
      <c r="D490" s="64">
        <v>123457276</v>
      </c>
      <c r="E490" s="70" t="s">
        <v>537</v>
      </c>
      <c r="F490" s="111" t="s">
        <v>868</v>
      </c>
      <c r="G490" s="66">
        <v>785</v>
      </c>
      <c r="H490" s="67">
        <v>23</v>
      </c>
      <c r="I490" s="67">
        <v>18055</v>
      </c>
      <c r="J490" s="68">
        <v>123456789</v>
      </c>
      <c r="K490" s="69" t="s">
        <v>887</v>
      </c>
    </row>
    <row r="491" spans="2:11" ht="20.100000000000001" customHeight="1" x14ac:dyDescent="0.3">
      <c r="B491" s="62">
        <v>45418</v>
      </c>
      <c r="C491" s="63" t="s">
        <v>1376</v>
      </c>
      <c r="D491" s="64">
        <v>123457277</v>
      </c>
      <c r="E491" s="65" t="s">
        <v>538</v>
      </c>
      <c r="F491" s="53" t="s">
        <v>868</v>
      </c>
      <c r="G491" s="66">
        <v>821</v>
      </c>
      <c r="H491" s="67">
        <v>21</v>
      </c>
      <c r="I491" s="67">
        <v>17241</v>
      </c>
      <c r="J491" s="68">
        <v>123456789</v>
      </c>
      <c r="K491" s="69" t="s">
        <v>887</v>
      </c>
    </row>
    <row r="492" spans="2:11" ht="20.100000000000001" customHeight="1" x14ac:dyDescent="0.3">
      <c r="B492" s="62">
        <v>45419</v>
      </c>
      <c r="C492" s="63" t="s">
        <v>1377</v>
      </c>
      <c r="D492" s="64">
        <v>123457278</v>
      </c>
      <c r="E492" s="70" t="s">
        <v>539</v>
      </c>
      <c r="F492" s="111" t="s">
        <v>868</v>
      </c>
      <c r="G492" s="66">
        <v>701</v>
      </c>
      <c r="H492" s="67">
        <v>28</v>
      </c>
      <c r="I492" s="67">
        <v>19628</v>
      </c>
      <c r="J492" s="68">
        <v>123456789</v>
      </c>
      <c r="K492" s="69" t="s">
        <v>887</v>
      </c>
    </row>
    <row r="493" spans="2:11" ht="20.100000000000001" customHeight="1" x14ac:dyDescent="0.3">
      <c r="B493" s="62">
        <v>45420</v>
      </c>
      <c r="C493" s="63" t="s">
        <v>1378</v>
      </c>
      <c r="D493" s="64">
        <v>123457279</v>
      </c>
      <c r="E493" s="65" t="s">
        <v>540</v>
      </c>
      <c r="F493" s="53" t="s">
        <v>868</v>
      </c>
      <c r="G493" s="66">
        <v>949</v>
      </c>
      <c r="H493" s="67">
        <v>30</v>
      </c>
      <c r="I493" s="67">
        <v>28470</v>
      </c>
      <c r="J493" s="68">
        <v>123456789</v>
      </c>
      <c r="K493" s="69" t="s">
        <v>889</v>
      </c>
    </row>
    <row r="494" spans="2:11" ht="20.100000000000001" customHeight="1" x14ac:dyDescent="0.3">
      <c r="B494" s="62">
        <v>45421</v>
      </c>
      <c r="C494" s="63" t="s">
        <v>1379</v>
      </c>
      <c r="D494" s="64">
        <v>123457280</v>
      </c>
      <c r="E494" s="70" t="s">
        <v>541</v>
      </c>
      <c r="F494" s="111" t="s">
        <v>868</v>
      </c>
      <c r="G494" s="66">
        <v>774</v>
      </c>
      <c r="H494" s="67">
        <v>27</v>
      </c>
      <c r="I494" s="67">
        <v>20898</v>
      </c>
      <c r="J494" s="68">
        <v>123456789</v>
      </c>
      <c r="K494" s="69" t="s">
        <v>887</v>
      </c>
    </row>
    <row r="495" spans="2:11" ht="20.100000000000001" customHeight="1" x14ac:dyDescent="0.3">
      <c r="B495" s="62">
        <v>45422</v>
      </c>
      <c r="C495" s="63" t="s">
        <v>1380</v>
      </c>
      <c r="D495" s="64">
        <v>123457281</v>
      </c>
      <c r="E495" s="65" t="s">
        <v>542</v>
      </c>
      <c r="F495" s="53" t="s">
        <v>868</v>
      </c>
      <c r="G495" s="66">
        <v>606</v>
      </c>
      <c r="H495" s="67">
        <v>21</v>
      </c>
      <c r="I495" s="67">
        <v>12726</v>
      </c>
      <c r="J495" s="68">
        <v>123456789</v>
      </c>
      <c r="K495" s="69" t="s">
        <v>887</v>
      </c>
    </row>
    <row r="496" spans="2:11" ht="20.100000000000001" customHeight="1" x14ac:dyDescent="0.3">
      <c r="B496" s="62">
        <v>45423</v>
      </c>
      <c r="C496" s="63" t="s">
        <v>1381</v>
      </c>
      <c r="D496" s="64">
        <v>123457282</v>
      </c>
      <c r="E496" s="70" t="s">
        <v>543</v>
      </c>
      <c r="F496" s="111" t="s">
        <v>869</v>
      </c>
      <c r="G496" s="66">
        <v>936</v>
      </c>
      <c r="H496" s="67">
        <v>25</v>
      </c>
      <c r="I496" s="67">
        <v>23400</v>
      </c>
      <c r="J496" s="68">
        <v>123456789</v>
      </c>
      <c r="K496" s="69" t="s">
        <v>887</v>
      </c>
    </row>
    <row r="497" spans="2:11" ht="20.100000000000001" customHeight="1" x14ac:dyDescent="0.3">
      <c r="B497" s="62">
        <v>45424</v>
      </c>
      <c r="C497" s="63" t="s">
        <v>1382</v>
      </c>
      <c r="D497" s="64">
        <v>123457283</v>
      </c>
      <c r="E497" s="65" t="s">
        <v>544</v>
      </c>
      <c r="F497" s="53" t="s">
        <v>868</v>
      </c>
      <c r="G497" s="66">
        <v>578</v>
      </c>
      <c r="H497" s="67">
        <v>25</v>
      </c>
      <c r="I497" s="67">
        <v>14450</v>
      </c>
      <c r="J497" s="68">
        <v>123456789</v>
      </c>
      <c r="K497" s="69" t="s">
        <v>889</v>
      </c>
    </row>
    <row r="498" spans="2:11" ht="20.100000000000001" customHeight="1" x14ac:dyDescent="0.3">
      <c r="B498" s="62">
        <v>45425</v>
      </c>
      <c r="C498" s="63" t="s">
        <v>1383</v>
      </c>
      <c r="D498" s="64">
        <v>123457284</v>
      </c>
      <c r="E498" s="70" t="s">
        <v>545</v>
      </c>
      <c r="F498" s="111" t="s">
        <v>868</v>
      </c>
      <c r="G498" s="66">
        <v>716</v>
      </c>
      <c r="H498" s="67">
        <v>22</v>
      </c>
      <c r="I498" s="67">
        <v>15752</v>
      </c>
      <c r="J498" s="68">
        <v>123456789</v>
      </c>
      <c r="K498" s="69" t="s">
        <v>887</v>
      </c>
    </row>
    <row r="499" spans="2:11" ht="20.100000000000001" customHeight="1" x14ac:dyDescent="0.3">
      <c r="B499" s="62">
        <v>45426</v>
      </c>
      <c r="C499" s="63" t="s">
        <v>1384</v>
      </c>
      <c r="D499" s="64">
        <v>123457285</v>
      </c>
      <c r="E499" s="65" t="s">
        <v>546</v>
      </c>
      <c r="F499" s="53" t="s">
        <v>868</v>
      </c>
      <c r="G499" s="66">
        <v>520</v>
      </c>
      <c r="H499" s="67">
        <v>28</v>
      </c>
      <c r="I499" s="67">
        <v>14560</v>
      </c>
      <c r="J499" s="68">
        <v>123456789</v>
      </c>
      <c r="K499" s="69" t="s">
        <v>887</v>
      </c>
    </row>
    <row r="500" spans="2:11" ht="20.100000000000001" customHeight="1" x14ac:dyDescent="0.3">
      <c r="B500" s="62">
        <v>45427</v>
      </c>
      <c r="C500" s="63" t="s">
        <v>1385</v>
      </c>
      <c r="D500" s="64">
        <v>123457286</v>
      </c>
      <c r="E500" s="70" t="s">
        <v>547</v>
      </c>
      <c r="F500" s="111" t="s">
        <v>869</v>
      </c>
      <c r="G500" s="66">
        <v>773</v>
      </c>
      <c r="H500" s="67">
        <v>29</v>
      </c>
      <c r="I500" s="67">
        <v>22417</v>
      </c>
      <c r="J500" s="68">
        <v>123456789</v>
      </c>
      <c r="K500" s="69" t="s">
        <v>887</v>
      </c>
    </row>
    <row r="501" spans="2:11" ht="20.100000000000001" customHeight="1" x14ac:dyDescent="0.3">
      <c r="B501" s="62">
        <v>45428</v>
      </c>
      <c r="C501" s="63" t="s">
        <v>1386</v>
      </c>
      <c r="D501" s="64">
        <v>123457287</v>
      </c>
      <c r="E501" s="65" t="s">
        <v>548</v>
      </c>
      <c r="F501" s="53" t="s">
        <v>868</v>
      </c>
      <c r="G501" s="66">
        <v>661</v>
      </c>
      <c r="H501" s="67">
        <v>21</v>
      </c>
      <c r="I501" s="67">
        <v>13881</v>
      </c>
      <c r="J501" s="68">
        <v>123456789</v>
      </c>
      <c r="K501" s="69" t="s">
        <v>887</v>
      </c>
    </row>
    <row r="502" spans="2:11" ht="20.100000000000001" customHeight="1" x14ac:dyDescent="0.3">
      <c r="B502" s="62">
        <v>45429</v>
      </c>
      <c r="C502" s="63" t="s">
        <v>1387</v>
      </c>
      <c r="D502" s="64">
        <v>123457288</v>
      </c>
      <c r="E502" s="70" t="s">
        <v>549</v>
      </c>
      <c r="F502" s="111" t="s">
        <v>868</v>
      </c>
      <c r="G502" s="66">
        <v>953</v>
      </c>
      <c r="H502" s="67">
        <v>28</v>
      </c>
      <c r="I502" s="67">
        <v>26684</v>
      </c>
      <c r="J502" s="68">
        <v>123456789</v>
      </c>
      <c r="K502" s="69" t="s">
        <v>889</v>
      </c>
    </row>
    <row r="503" spans="2:11" ht="20.100000000000001" customHeight="1" x14ac:dyDescent="0.3">
      <c r="B503" s="62">
        <v>45430</v>
      </c>
      <c r="C503" s="63" t="s">
        <v>1388</v>
      </c>
      <c r="D503" s="64">
        <v>123457289</v>
      </c>
      <c r="E503" s="65" t="s">
        <v>550</v>
      </c>
      <c r="F503" s="53" t="s">
        <v>868</v>
      </c>
      <c r="G503" s="66">
        <v>668</v>
      </c>
      <c r="H503" s="67">
        <v>22</v>
      </c>
      <c r="I503" s="67">
        <v>14696</v>
      </c>
      <c r="J503" s="68">
        <v>123456789</v>
      </c>
      <c r="K503" s="69" t="s">
        <v>887</v>
      </c>
    </row>
    <row r="504" spans="2:11" ht="20.100000000000001" customHeight="1" x14ac:dyDescent="0.3">
      <c r="B504" s="62">
        <v>45431</v>
      </c>
      <c r="C504" s="63" t="s">
        <v>1389</v>
      </c>
      <c r="D504" s="64">
        <v>123457290</v>
      </c>
      <c r="E504" s="70" t="s">
        <v>551</v>
      </c>
      <c r="F504" s="111" t="s">
        <v>868</v>
      </c>
      <c r="G504" s="66">
        <v>584</v>
      </c>
      <c r="H504" s="67">
        <v>22</v>
      </c>
      <c r="I504" s="67">
        <v>12848</v>
      </c>
      <c r="J504" s="68">
        <v>123456789</v>
      </c>
      <c r="K504" s="69" t="s">
        <v>887</v>
      </c>
    </row>
    <row r="505" spans="2:11" ht="20.100000000000001" customHeight="1" x14ac:dyDescent="0.3">
      <c r="B505" s="62">
        <v>45432</v>
      </c>
      <c r="C505" s="63" t="s">
        <v>1390</v>
      </c>
      <c r="D505" s="64">
        <v>123457291</v>
      </c>
      <c r="E505" s="65" t="s">
        <v>552</v>
      </c>
      <c r="F505" s="53" t="s">
        <v>869</v>
      </c>
      <c r="G505" s="66">
        <v>971</v>
      </c>
      <c r="H505" s="67">
        <v>29</v>
      </c>
      <c r="I505" s="67">
        <v>28159</v>
      </c>
      <c r="J505" s="68">
        <v>123456789</v>
      </c>
      <c r="K505" s="69" t="s">
        <v>889</v>
      </c>
    </row>
    <row r="506" spans="2:11" ht="20.100000000000001" customHeight="1" x14ac:dyDescent="0.3">
      <c r="B506" s="62">
        <v>45433</v>
      </c>
      <c r="C506" s="63" t="s">
        <v>1391</v>
      </c>
      <c r="D506" s="64">
        <v>123457292</v>
      </c>
      <c r="E506" s="70" t="s">
        <v>553</v>
      </c>
      <c r="F506" s="111" t="s">
        <v>868</v>
      </c>
      <c r="G506" s="66">
        <v>855</v>
      </c>
      <c r="H506" s="67">
        <v>23</v>
      </c>
      <c r="I506" s="67">
        <v>19665</v>
      </c>
      <c r="J506" s="68">
        <v>123456789</v>
      </c>
      <c r="K506" s="69" t="s">
        <v>887</v>
      </c>
    </row>
    <row r="507" spans="2:11" ht="20.100000000000001" customHeight="1" x14ac:dyDescent="0.3">
      <c r="B507" s="62">
        <v>45434</v>
      </c>
      <c r="C507" s="63" t="s">
        <v>1392</v>
      </c>
      <c r="D507" s="64">
        <v>123457293</v>
      </c>
      <c r="E507" s="65" t="s">
        <v>554</v>
      </c>
      <c r="F507" s="53" t="s">
        <v>869</v>
      </c>
      <c r="G507" s="66">
        <v>533</v>
      </c>
      <c r="H507" s="67">
        <v>27</v>
      </c>
      <c r="I507" s="67">
        <v>14391</v>
      </c>
      <c r="J507" s="68">
        <v>123456789</v>
      </c>
      <c r="K507" s="69" t="s">
        <v>887</v>
      </c>
    </row>
    <row r="508" spans="2:11" ht="20.100000000000001" customHeight="1" x14ac:dyDescent="0.3">
      <c r="B508" s="62">
        <v>45435</v>
      </c>
      <c r="C508" s="63" t="s">
        <v>1393</v>
      </c>
      <c r="D508" s="64">
        <v>123457294</v>
      </c>
      <c r="E508" s="70" t="s">
        <v>555</v>
      </c>
      <c r="F508" s="111" t="s">
        <v>869</v>
      </c>
      <c r="G508" s="66">
        <v>989</v>
      </c>
      <c r="H508" s="67">
        <v>25</v>
      </c>
      <c r="I508" s="67">
        <v>24725</v>
      </c>
      <c r="J508" s="68">
        <v>123456789</v>
      </c>
      <c r="K508" s="69" t="s">
        <v>889</v>
      </c>
    </row>
    <row r="509" spans="2:11" ht="20.100000000000001" customHeight="1" x14ac:dyDescent="0.3">
      <c r="B509" s="62">
        <v>45436</v>
      </c>
      <c r="C509" s="63" t="s">
        <v>1394</v>
      </c>
      <c r="D509" s="64">
        <v>123457295</v>
      </c>
      <c r="E509" s="65" t="s">
        <v>556</v>
      </c>
      <c r="F509" s="53" t="s">
        <v>868</v>
      </c>
      <c r="G509" s="66">
        <v>696</v>
      </c>
      <c r="H509" s="67">
        <v>25</v>
      </c>
      <c r="I509" s="67">
        <v>17400</v>
      </c>
      <c r="J509" s="68">
        <v>123456789</v>
      </c>
      <c r="K509" s="69" t="s">
        <v>887</v>
      </c>
    </row>
    <row r="510" spans="2:11" ht="20.100000000000001" customHeight="1" x14ac:dyDescent="0.3">
      <c r="B510" s="62">
        <v>45437</v>
      </c>
      <c r="C510" s="63" t="s">
        <v>1395</v>
      </c>
      <c r="D510" s="64">
        <v>123457296</v>
      </c>
      <c r="E510" s="70" t="s">
        <v>557</v>
      </c>
      <c r="F510" s="111" t="s">
        <v>868</v>
      </c>
      <c r="G510" s="66">
        <v>915</v>
      </c>
      <c r="H510" s="67">
        <v>31</v>
      </c>
      <c r="I510" s="67">
        <v>28365</v>
      </c>
      <c r="J510" s="68">
        <v>123456789</v>
      </c>
      <c r="K510" s="69" t="s">
        <v>889</v>
      </c>
    </row>
    <row r="511" spans="2:11" ht="20.100000000000001" customHeight="1" x14ac:dyDescent="0.3">
      <c r="B511" s="62">
        <v>45438</v>
      </c>
      <c r="C511" s="63" t="s">
        <v>1396</v>
      </c>
      <c r="D511" s="64">
        <v>123457297</v>
      </c>
      <c r="E511" s="65" t="s">
        <v>558</v>
      </c>
      <c r="F511" s="53" t="s">
        <v>868</v>
      </c>
      <c r="G511" s="66">
        <v>870</v>
      </c>
      <c r="H511" s="67">
        <v>28</v>
      </c>
      <c r="I511" s="67">
        <v>24360</v>
      </c>
      <c r="J511" s="68">
        <v>123456789</v>
      </c>
      <c r="K511" s="69" t="s">
        <v>887</v>
      </c>
    </row>
    <row r="512" spans="2:11" ht="20.100000000000001" customHeight="1" x14ac:dyDescent="0.3">
      <c r="B512" s="62">
        <v>45439</v>
      </c>
      <c r="C512" s="63" t="s">
        <v>1397</v>
      </c>
      <c r="D512" s="64">
        <v>123457298</v>
      </c>
      <c r="E512" s="70" t="s">
        <v>559</v>
      </c>
      <c r="F512" s="111" t="s">
        <v>868</v>
      </c>
      <c r="G512" s="66">
        <v>862</v>
      </c>
      <c r="H512" s="67">
        <v>31</v>
      </c>
      <c r="I512" s="67">
        <v>26722</v>
      </c>
      <c r="J512" s="68">
        <v>123456789</v>
      </c>
      <c r="K512" s="69" t="s">
        <v>887</v>
      </c>
    </row>
    <row r="513" spans="2:11" ht="20.100000000000001" customHeight="1" x14ac:dyDescent="0.3">
      <c r="B513" s="62">
        <v>45440</v>
      </c>
      <c r="C513" s="63" t="s">
        <v>1398</v>
      </c>
      <c r="D513" s="64">
        <v>123457299</v>
      </c>
      <c r="E513" s="65" t="s">
        <v>560</v>
      </c>
      <c r="F513" s="53" t="s">
        <v>868</v>
      </c>
      <c r="G513" s="66">
        <v>892</v>
      </c>
      <c r="H513" s="67">
        <v>31</v>
      </c>
      <c r="I513" s="67">
        <v>27652</v>
      </c>
      <c r="J513" s="68">
        <v>123456789</v>
      </c>
      <c r="K513" s="69" t="s">
        <v>887</v>
      </c>
    </row>
    <row r="514" spans="2:11" ht="20.100000000000001" customHeight="1" x14ac:dyDescent="0.3">
      <c r="B514" s="62">
        <v>45441</v>
      </c>
      <c r="C514" s="63" t="s">
        <v>1399</v>
      </c>
      <c r="D514" s="64">
        <v>123457300</v>
      </c>
      <c r="E514" s="70" t="s">
        <v>561</v>
      </c>
      <c r="F514" s="111" t="s">
        <v>868</v>
      </c>
      <c r="G514" s="66">
        <v>766</v>
      </c>
      <c r="H514" s="67">
        <v>24</v>
      </c>
      <c r="I514" s="67">
        <v>18384</v>
      </c>
      <c r="J514" s="68">
        <v>123456789</v>
      </c>
      <c r="K514" s="69" t="s">
        <v>887</v>
      </c>
    </row>
    <row r="515" spans="2:11" ht="20.100000000000001" customHeight="1" x14ac:dyDescent="0.3">
      <c r="B515" s="62">
        <v>45442</v>
      </c>
      <c r="C515" s="63" t="s">
        <v>1400</v>
      </c>
      <c r="D515" s="64">
        <v>123457301</v>
      </c>
      <c r="E515" s="65" t="s">
        <v>562</v>
      </c>
      <c r="F515" s="53" t="s">
        <v>868</v>
      </c>
      <c r="G515" s="66">
        <v>996</v>
      </c>
      <c r="H515" s="67">
        <v>24</v>
      </c>
      <c r="I515" s="67">
        <v>23904</v>
      </c>
      <c r="J515" s="68">
        <v>123456789</v>
      </c>
      <c r="K515" s="69" t="s">
        <v>889</v>
      </c>
    </row>
    <row r="516" spans="2:11" ht="20.100000000000001" customHeight="1" x14ac:dyDescent="0.3">
      <c r="B516" s="62">
        <v>45443</v>
      </c>
      <c r="C516" s="63" t="s">
        <v>1401</v>
      </c>
      <c r="D516" s="64">
        <v>123457302</v>
      </c>
      <c r="E516" s="70" t="s">
        <v>563</v>
      </c>
      <c r="F516" s="111" t="s">
        <v>868</v>
      </c>
      <c r="G516" s="66">
        <v>955</v>
      </c>
      <c r="H516" s="67">
        <v>23</v>
      </c>
      <c r="I516" s="67">
        <v>21965</v>
      </c>
      <c r="J516" s="68">
        <v>123456789</v>
      </c>
      <c r="K516" s="69" t="s">
        <v>887</v>
      </c>
    </row>
    <row r="517" spans="2:11" ht="20.100000000000001" customHeight="1" x14ac:dyDescent="0.3">
      <c r="B517" s="62">
        <v>45444</v>
      </c>
      <c r="C517" s="63" t="s">
        <v>1402</v>
      </c>
      <c r="D517" s="64">
        <v>123457303</v>
      </c>
      <c r="E517" s="65" t="s">
        <v>564</v>
      </c>
      <c r="F517" s="53" t="s">
        <v>868</v>
      </c>
      <c r="G517" s="66">
        <v>858</v>
      </c>
      <c r="H517" s="67">
        <v>23</v>
      </c>
      <c r="I517" s="67">
        <v>19734</v>
      </c>
      <c r="J517" s="68">
        <v>123456789</v>
      </c>
      <c r="K517" s="69" t="s">
        <v>887</v>
      </c>
    </row>
    <row r="518" spans="2:11" ht="20.100000000000001" customHeight="1" x14ac:dyDescent="0.3">
      <c r="B518" s="62">
        <v>45445</v>
      </c>
      <c r="C518" s="63" t="s">
        <v>1403</v>
      </c>
      <c r="D518" s="64">
        <v>123457304</v>
      </c>
      <c r="E518" s="70" t="s">
        <v>565</v>
      </c>
      <c r="F518" s="111" t="s">
        <v>869</v>
      </c>
      <c r="G518" s="66">
        <v>770</v>
      </c>
      <c r="H518" s="67">
        <v>30</v>
      </c>
      <c r="I518" s="67">
        <v>23100</v>
      </c>
      <c r="J518" s="68">
        <v>123456789</v>
      </c>
      <c r="K518" s="69" t="s">
        <v>889</v>
      </c>
    </row>
    <row r="519" spans="2:11" ht="20.100000000000001" customHeight="1" x14ac:dyDescent="0.3">
      <c r="B519" s="62">
        <v>45446</v>
      </c>
      <c r="C519" s="63" t="s">
        <v>1404</v>
      </c>
      <c r="D519" s="64">
        <v>123457305</v>
      </c>
      <c r="E519" s="65" t="s">
        <v>566</v>
      </c>
      <c r="F519" s="53" t="s">
        <v>868</v>
      </c>
      <c r="G519" s="66">
        <v>768</v>
      </c>
      <c r="H519" s="67">
        <v>26</v>
      </c>
      <c r="I519" s="67">
        <v>19968</v>
      </c>
      <c r="J519" s="68">
        <v>123456789</v>
      </c>
      <c r="K519" s="69" t="s">
        <v>887</v>
      </c>
    </row>
    <row r="520" spans="2:11" ht="20.100000000000001" customHeight="1" x14ac:dyDescent="0.3">
      <c r="B520" s="62">
        <v>45447</v>
      </c>
      <c r="C520" s="63" t="s">
        <v>1405</v>
      </c>
      <c r="D520" s="64">
        <v>123457306</v>
      </c>
      <c r="E520" s="70" t="s">
        <v>567</v>
      </c>
      <c r="F520" s="111" t="s">
        <v>869</v>
      </c>
      <c r="G520" s="66">
        <v>869</v>
      </c>
      <c r="H520" s="67">
        <v>27</v>
      </c>
      <c r="I520" s="67">
        <v>23463</v>
      </c>
      <c r="J520" s="68">
        <v>123456789</v>
      </c>
      <c r="K520" s="69" t="s">
        <v>887</v>
      </c>
    </row>
    <row r="521" spans="2:11" ht="20.100000000000001" customHeight="1" x14ac:dyDescent="0.3">
      <c r="B521" s="62">
        <v>45448</v>
      </c>
      <c r="C521" s="63" t="s">
        <v>1406</v>
      </c>
      <c r="D521" s="64">
        <v>123457307</v>
      </c>
      <c r="E521" s="65" t="s">
        <v>568</v>
      </c>
      <c r="F521" s="53" t="s">
        <v>868</v>
      </c>
      <c r="G521" s="66">
        <v>809</v>
      </c>
      <c r="H521" s="67">
        <v>31</v>
      </c>
      <c r="I521" s="67">
        <v>25079</v>
      </c>
      <c r="J521" s="68">
        <v>123456789</v>
      </c>
      <c r="K521" s="69" t="s">
        <v>887</v>
      </c>
    </row>
    <row r="522" spans="2:11" ht="20.100000000000001" customHeight="1" x14ac:dyDescent="0.3">
      <c r="B522" s="62">
        <v>45449</v>
      </c>
      <c r="C522" s="63" t="s">
        <v>1407</v>
      </c>
      <c r="D522" s="64">
        <v>123457308</v>
      </c>
      <c r="E522" s="70" t="s">
        <v>569</v>
      </c>
      <c r="F522" s="111" t="s">
        <v>868</v>
      </c>
      <c r="G522" s="66">
        <v>540</v>
      </c>
      <c r="H522" s="67">
        <v>29</v>
      </c>
      <c r="I522" s="67">
        <v>15660</v>
      </c>
      <c r="J522" s="68">
        <v>123456789</v>
      </c>
      <c r="K522" s="69" t="s">
        <v>889</v>
      </c>
    </row>
    <row r="523" spans="2:11" ht="20.100000000000001" customHeight="1" x14ac:dyDescent="0.3">
      <c r="B523" s="62">
        <v>45450</v>
      </c>
      <c r="C523" s="63" t="s">
        <v>1408</v>
      </c>
      <c r="D523" s="64">
        <v>123457309</v>
      </c>
      <c r="E523" s="65" t="s">
        <v>570</v>
      </c>
      <c r="F523" s="53" t="s">
        <v>868</v>
      </c>
      <c r="G523" s="66">
        <v>755</v>
      </c>
      <c r="H523" s="67">
        <v>26</v>
      </c>
      <c r="I523" s="67">
        <v>19630</v>
      </c>
      <c r="J523" s="68">
        <v>123456789</v>
      </c>
      <c r="K523" s="69" t="s">
        <v>887</v>
      </c>
    </row>
    <row r="524" spans="2:11" ht="20.100000000000001" customHeight="1" x14ac:dyDescent="0.3">
      <c r="B524" s="62">
        <v>45451</v>
      </c>
      <c r="C524" s="63" t="s">
        <v>1409</v>
      </c>
      <c r="D524" s="64">
        <v>123457310</v>
      </c>
      <c r="E524" s="70" t="s">
        <v>571</v>
      </c>
      <c r="F524" s="111" t="s">
        <v>868</v>
      </c>
      <c r="G524" s="66">
        <v>994</v>
      </c>
      <c r="H524" s="67">
        <v>29</v>
      </c>
      <c r="I524" s="67">
        <v>28826</v>
      </c>
      <c r="J524" s="68">
        <v>123456789</v>
      </c>
      <c r="K524" s="69" t="s">
        <v>887</v>
      </c>
    </row>
    <row r="525" spans="2:11" ht="20.100000000000001" customHeight="1" x14ac:dyDescent="0.3">
      <c r="B525" s="62">
        <v>45452</v>
      </c>
      <c r="C525" s="63" t="s">
        <v>1410</v>
      </c>
      <c r="D525" s="64">
        <v>123457311</v>
      </c>
      <c r="E525" s="65" t="s">
        <v>572</v>
      </c>
      <c r="F525" s="53" t="s">
        <v>868</v>
      </c>
      <c r="G525" s="66">
        <v>903</v>
      </c>
      <c r="H525" s="67">
        <v>25</v>
      </c>
      <c r="I525" s="67">
        <v>22575</v>
      </c>
      <c r="J525" s="68">
        <v>123456789</v>
      </c>
      <c r="K525" s="69" t="s">
        <v>887</v>
      </c>
    </row>
    <row r="526" spans="2:11" ht="20.100000000000001" customHeight="1" x14ac:dyDescent="0.3">
      <c r="B526" s="62">
        <v>45453</v>
      </c>
      <c r="C526" s="63" t="s">
        <v>1411</v>
      </c>
      <c r="D526" s="64">
        <v>123457312</v>
      </c>
      <c r="E526" s="70" t="s">
        <v>573</v>
      </c>
      <c r="F526" s="111" t="s">
        <v>868</v>
      </c>
      <c r="G526" s="66">
        <v>711</v>
      </c>
      <c r="H526" s="67">
        <v>26</v>
      </c>
      <c r="I526" s="67">
        <v>18486</v>
      </c>
      <c r="J526" s="68">
        <v>123456789</v>
      </c>
      <c r="K526" s="69" t="s">
        <v>887</v>
      </c>
    </row>
    <row r="527" spans="2:11" ht="20.100000000000001" customHeight="1" x14ac:dyDescent="0.3">
      <c r="B527" s="62">
        <v>45454</v>
      </c>
      <c r="C527" s="63" t="s">
        <v>1412</v>
      </c>
      <c r="D527" s="64">
        <v>123457313</v>
      </c>
      <c r="E527" s="65" t="s">
        <v>574</v>
      </c>
      <c r="F527" s="53" t="s">
        <v>868</v>
      </c>
      <c r="G527" s="66">
        <v>727</v>
      </c>
      <c r="H527" s="67">
        <v>22</v>
      </c>
      <c r="I527" s="67">
        <v>15994</v>
      </c>
      <c r="J527" s="68">
        <v>123456789</v>
      </c>
      <c r="K527" s="69" t="s">
        <v>887</v>
      </c>
    </row>
    <row r="528" spans="2:11" ht="20.100000000000001" customHeight="1" x14ac:dyDescent="0.3">
      <c r="B528" s="62">
        <v>45455</v>
      </c>
      <c r="C528" s="63" t="s">
        <v>1413</v>
      </c>
      <c r="D528" s="64">
        <v>123457314</v>
      </c>
      <c r="E528" s="70" t="s">
        <v>575</v>
      </c>
      <c r="F528" s="111" t="s">
        <v>868</v>
      </c>
      <c r="G528" s="66">
        <v>814</v>
      </c>
      <c r="H528" s="67">
        <v>31</v>
      </c>
      <c r="I528" s="67">
        <v>25234</v>
      </c>
      <c r="J528" s="68">
        <v>123456789</v>
      </c>
      <c r="K528" s="69" t="s">
        <v>887</v>
      </c>
    </row>
    <row r="529" spans="2:11" ht="20.100000000000001" customHeight="1" x14ac:dyDescent="0.3">
      <c r="B529" s="62">
        <v>45456</v>
      </c>
      <c r="C529" s="63" t="s">
        <v>1414</v>
      </c>
      <c r="D529" s="64">
        <v>123457315</v>
      </c>
      <c r="E529" s="65" t="s">
        <v>576</v>
      </c>
      <c r="F529" s="53" t="s">
        <v>868</v>
      </c>
      <c r="G529" s="66">
        <v>986</v>
      </c>
      <c r="H529" s="67">
        <v>25</v>
      </c>
      <c r="I529" s="67">
        <v>24650</v>
      </c>
      <c r="J529" s="68">
        <v>123456789</v>
      </c>
      <c r="K529" s="69" t="s">
        <v>887</v>
      </c>
    </row>
    <row r="530" spans="2:11" ht="20.100000000000001" customHeight="1" x14ac:dyDescent="0.3">
      <c r="B530" s="62">
        <v>45457</v>
      </c>
      <c r="C530" s="63" t="s">
        <v>1415</v>
      </c>
      <c r="D530" s="64">
        <v>123457316</v>
      </c>
      <c r="E530" s="70" t="s">
        <v>577</v>
      </c>
      <c r="F530" s="111" t="s">
        <v>868</v>
      </c>
      <c r="G530" s="66">
        <v>890</v>
      </c>
      <c r="H530" s="67">
        <v>29</v>
      </c>
      <c r="I530" s="67">
        <v>25810</v>
      </c>
      <c r="J530" s="68">
        <v>123456789</v>
      </c>
      <c r="K530" s="69" t="s">
        <v>887</v>
      </c>
    </row>
    <row r="531" spans="2:11" ht="20.100000000000001" customHeight="1" x14ac:dyDescent="0.3">
      <c r="B531" s="62">
        <v>45458</v>
      </c>
      <c r="C531" s="63" t="s">
        <v>1416</v>
      </c>
      <c r="D531" s="64">
        <v>123457317</v>
      </c>
      <c r="E531" s="65" t="s">
        <v>578</v>
      </c>
      <c r="F531" s="53" t="s">
        <v>868</v>
      </c>
      <c r="G531" s="66">
        <v>824</v>
      </c>
      <c r="H531" s="67">
        <v>29</v>
      </c>
      <c r="I531" s="67">
        <v>23896</v>
      </c>
      <c r="J531" s="68">
        <v>123456789</v>
      </c>
      <c r="K531" s="69" t="s">
        <v>887</v>
      </c>
    </row>
    <row r="532" spans="2:11" ht="20.100000000000001" customHeight="1" x14ac:dyDescent="0.3">
      <c r="B532" s="62">
        <v>45459</v>
      </c>
      <c r="C532" s="63" t="s">
        <v>1417</v>
      </c>
      <c r="D532" s="64">
        <v>123457318</v>
      </c>
      <c r="E532" s="70" t="s">
        <v>579</v>
      </c>
      <c r="F532" s="111" t="s">
        <v>869</v>
      </c>
      <c r="G532" s="66">
        <v>582</v>
      </c>
      <c r="H532" s="67">
        <v>29</v>
      </c>
      <c r="I532" s="67">
        <v>16878</v>
      </c>
      <c r="J532" s="68">
        <v>123456789</v>
      </c>
      <c r="K532" s="69" t="s">
        <v>887</v>
      </c>
    </row>
    <row r="533" spans="2:11" ht="20.100000000000001" customHeight="1" x14ac:dyDescent="0.3">
      <c r="B533" s="62">
        <v>45460</v>
      </c>
      <c r="C533" s="63" t="s">
        <v>1418</v>
      </c>
      <c r="D533" s="64">
        <v>123457319</v>
      </c>
      <c r="E533" s="65" t="s">
        <v>580</v>
      </c>
      <c r="F533" s="53" t="s">
        <v>869</v>
      </c>
      <c r="G533" s="66">
        <v>754</v>
      </c>
      <c r="H533" s="67">
        <v>22</v>
      </c>
      <c r="I533" s="67">
        <v>16588</v>
      </c>
      <c r="J533" s="68">
        <v>123456789</v>
      </c>
      <c r="K533" s="69" t="s">
        <v>889</v>
      </c>
    </row>
    <row r="534" spans="2:11" ht="20.100000000000001" customHeight="1" x14ac:dyDescent="0.3">
      <c r="B534" s="62">
        <v>45461</v>
      </c>
      <c r="C534" s="63" t="s">
        <v>1419</v>
      </c>
      <c r="D534" s="64">
        <v>123457320</v>
      </c>
      <c r="E534" s="70" t="s">
        <v>581</v>
      </c>
      <c r="F534" s="111" t="s">
        <v>868</v>
      </c>
      <c r="G534" s="66">
        <v>553</v>
      </c>
      <c r="H534" s="67">
        <v>24</v>
      </c>
      <c r="I534" s="67">
        <v>13272</v>
      </c>
      <c r="J534" s="68">
        <v>123456789</v>
      </c>
      <c r="K534" s="69" t="s">
        <v>887</v>
      </c>
    </row>
    <row r="535" spans="2:11" ht="20.100000000000001" customHeight="1" x14ac:dyDescent="0.3">
      <c r="B535" s="62">
        <v>45462</v>
      </c>
      <c r="C535" s="63" t="s">
        <v>1420</v>
      </c>
      <c r="D535" s="64">
        <v>123457321</v>
      </c>
      <c r="E535" s="65" t="s">
        <v>582</v>
      </c>
      <c r="F535" s="53" t="s">
        <v>868</v>
      </c>
      <c r="G535" s="66">
        <v>758</v>
      </c>
      <c r="H535" s="67">
        <v>25</v>
      </c>
      <c r="I535" s="67">
        <v>18950</v>
      </c>
      <c r="J535" s="68">
        <v>123456789</v>
      </c>
      <c r="K535" s="69" t="s">
        <v>887</v>
      </c>
    </row>
    <row r="536" spans="2:11" ht="20.100000000000001" customHeight="1" x14ac:dyDescent="0.3">
      <c r="B536" s="62">
        <v>45463</v>
      </c>
      <c r="C536" s="63" t="s">
        <v>1421</v>
      </c>
      <c r="D536" s="64">
        <v>123457322</v>
      </c>
      <c r="E536" s="70" t="s">
        <v>583</v>
      </c>
      <c r="F536" s="111" t="s">
        <v>868</v>
      </c>
      <c r="G536" s="66">
        <v>578</v>
      </c>
      <c r="H536" s="67">
        <v>23</v>
      </c>
      <c r="I536" s="67">
        <v>13294</v>
      </c>
      <c r="J536" s="68">
        <v>123456789</v>
      </c>
      <c r="K536" s="69" t="s">
        <v>887</v>
      </c>
    </row>
    <row r="537" spans="2:11" ht="20.100000000000001" customHeight="1" x14ac:dyDescent="0.3">
      <c r="B537" s="62">
        <v>45464</v>
      </c>
      <c r="C537" s="63" t="s">
        <v>1422</v>
      </c>
      <c r="D537" s="64">
        <v>123457323</v>
      </c>
      <c r="E537" s="65" t="s">
        <v>584</v>
      </c>
      <c r="F537" s="53" t="s">
        <v>868</v>
      </c>
      <c r="G537" s="66">
        <v>737</v>
      </c>
      <c r="H537" s="67">
        <v>24</v>
      </c>
      <c r="I537" s="67">
        <v>17688</v>
      </c>
      <c r="J537" s="68">
        <v>123456789</v>
      </c>
      <c r="K537" s="69" t="s">
        <v>887</v>
      </c>
    </row>
    <row r="538" spans="2:11" ht="20.100000000000001" customHeight="1" x14ac:dyDescent="0.3">
      <c r="B538" s="62">
        <v>45465</v>
      </c>
      <c r="C538" s="63" t="s">
        <v>1423</v>
      </c>
      <c r="D538" s="64">
        <v>123457324</v>
      </c>
      <c r="E538" s="70" t="s">
        <v>585</v>
      </c>
      <c r="F538" s="111" t="s">
        <v>869</v>
      </c>
      <c r="G538" s="66">
        <v>775</v>
      </c>
      <c r="H538" s="67">
        <v>26</v>
      </c>
      <c r="I538" s="67">
        <v>20150</v>
      </c>
      <c r="J538" s="68">
        <v>123456789</v>
      </c>
      <c r="K538" s="69" t="s">
        <v>889</v>
      </c>
    </row>
    <row r="539" spans="2:11" ht="20.100000000000001" customHeight="1" x14ac:dyDescent="0.3">
      <c r="B539" s="62">
        <v>45466</v>
      </c>
      <c r="C539" s="63" t="s">
        <v>1424</v>
      </c>
      <c r="D539" s="64">
        <v>123457325</v>
      </c>
      <c r="E539" s="65" t="s">
        <v>586</v>
      </c>
      <c r="F539" s="53" t="s">
        <v>868</v>
      </c>
      <c r="G539" s="66">
        <v>575</v>
      </c>
      <c r="H539" s="67">
        <v>25</v>
      </c>
      <c r="I539" s="67">
        <v>14375</v>
      </c>
      <c r="J539" s="68">
        <v>123456789</v>
      </c>
      <c r="K539" s="69" t="s">
        <v>889</v>
      </c>
    </row>
    <row r="540" spans="2:11" ht="20.100000000000001" customHeight="1" x14ac:dyDescent="0.3">
      <c r="B540" s="62">
        <v>45467</v>
      </c>
      <c r="C540" s="63" t="s">
        <v>1425</v>
      </c>
      <c r="D540" s="64">
        <v>123457326</v>
      </c>
      <c r="E540" s="70" t="s">
        <v>587</v>
      </c>
      <c r="F540" s="111" t="s">
        <v>868</v>
      </c>
      <c r="G540" s="66">
        <v>545</v>
      </c>
      <c r="H540" s="67">
        <v>29</v>
      </c>
      <c r="I540" s="67">
        <v>15805</v>
      </c>
      <c r="J540" s="68">
        <v>123456789</v>
      </c>
      <c r="K540" s="69" t="s">
        <v>887</v>
      </c>
    </row>
    <row r="541" spans="2:11" ht="20.100000000000001" customHeight="1" x14ac:dyDescent="0.3">
      <c r="B541" s="62">
        <v>45468</v>
      </c>
      <c r="C541" s="63" t="s">
        <v>1426</v>
      </c>
      <c r="D541" s="64">
        <v>123457327</v>
      </c>
      <c r="E541" s="65" t="s">
        <v>588</v>
      </c>
      <c r="F541" s="53" t="s">
        <v>868</v>
      </c>
      <c r="G541" s="66">
        <v>831</v>
      </c>
      <c r="H541" s="67">
        <v>24</v>
      </c>
      <c r="I541" s="67">
        <v>19944</v>
      </c>
      <c r="J541" s="68">
        <v>123456789</v>
      </c>
      <c r="K541" s="69" t="s">
        <v>887</v>
      </c>
    </row>
    <row r="542" spans="2:11" ht="20.100000000000001" customHeight="1" x14ac:dyDescent="0.3">
      <c r="B542" s="62">
        <v>45469</v>
      </c>
      <c r="C542" s="63" t="s">
        <v>1427</v>
      </c>
      <c r="D542" s="64">
        <v>123457328</v>
      </c>
      <c r="E542" s="70" t="s">
        <v>589</v>
      </c>
      <c r="F542" s="111" t="s">
        <v>869</v>
      </c>
      <c r="G542" s="66">
        <v>845</v>
      </c>
      <c r="H542" s="67">
        <v>22</v>
      </c>
      <c r="I542" s="67">
        <v>18590</v>
      </c>
      <c r="J542" s="68">
        <v>123456789</v>
      </c>
      <c r="K542" s="69" t="s">
        <v>887</v>
      </c>
    </row>
    <row r="543" spans="2:11" ht="20.100000000000001" customHeight="1" x14ac:dyDescent="0.3">
      <c r="B543" s="62">
        <v>45470</v>
      </c>
      <c r="C543" s="63" t="s">
        <v>1428</v>
      </c>
      <c r="D543" s="64">
        <v>123457329</v>
      </c>
      <c r="E543" s="65" t="s">
        <v>590</v>
      </c>
      <c r="F543" s="53" t="s">
        <v>868</v>
      </c>
      <c r="G543" s="66">
        <v>978</v>
      </c>
      <c r="H543" s="67">
        <v>28</v>
      </c>
      <c r="I543" s="67">
        <v>27384</v>
      </c>
      <c r="J543" s="68">
        <v>123456789</v>
      </c>
      <c r="K543" s="69" t="s">
        <v>887</v>
      </c>
    </row>
    <row r="544" spans="2:11" ht="20.100000000000001" customHeight="1" x14ac:dyDescent="0.3">
      <c r="B544" s="62">
        <v>45471</v>
      </c>
      <c r="C544" s="63" t="s">
        <v>1429</v>
      </c>
      <c r="D544" s="64">
        <v>123457330</v>
      </c>
      <c r="E544" s="70" t="s">
        <v>591</v>
      </c>
      <c r="F544" s="111" t="s">
        <v>868</v>
      </c>
      <c r="G544" s="66">
        <v>841</v>
      </c>
      <c r="H544" s="67">
        <v>22</v>
      </c>
      <c r="I544" s="67">
        <v>18502</v>
      </c>
      <c r="J544" s="68">
        <v>123456789</v>
      </c>
      <c r="K544" s="69" t="s">
        <v>887</v>
      </c>
    </row>
    <row r="545" spans="2:11" ht="20.100000000000001" customHeight="1" x14ac:dyDescent="0.3">
      <c r="B545" s="62">
        <v>45472</v>
      </c>
      <c r="C545" s="63" t="s">
        <v>1430</v>
      </c>
      <c r="D545" s="64">
        <v>123457331</v>
      </c>
      <c r="E545" s="65" t="s">
        <v>592</v>
      </c>
      <c r="F545" s="53" t="s">
        <v>868</v>
      </c>
      <c r="G545" s="66">
        <v>573</v>
      </c>
      <c r="H545" s="67">
        <v>29</v>
      </c>
      <c r="I545" s="67">
        <v>16617</v>
      </c>
      <c r="J545" s="68">
        <v>123456789</v>
      </c>
      <c r="K545" s="69" t="s">
        <v>887</v>
      </c>
    </row>
    <row r="546" spans="2:11" ht="20.100000000000001" customHeight="1" x14ac:dyDescent="0.3">
      <c r="B546" s="62">
        <v>45473</v>
      </c>
      <c r="C546" s="63" t="s">
        <v>1431</v>
      </c>
      <c r="D546" s="64">
        <v>123457332</v>
      </c>
      <c r="E546" s="70" t="s">
        <v>593</v>
      </c>
      <c r="F546" s="111" t="s">
        <v>868</v>
      </c>
      <c r="G546" s="66">
        <v>780</v>
      </c>
      <c r="H546" s="67">
        <v>23</v>
      </c>
      <c r="I546" s="67">
        <v>17940</v>
      </c>
      <c r="J546" s="68">
        <v>123456789</v>
      </c>
      <c r="K546" s="69" t="s">
        <v>887</v>
      </c>
    </row>
    <row r="547" spans="2:11" ht="20.100000000000001" customHeight="1" x14ac:dyDescent="0.3">
      <c r="B547" s="62">
        <v>45474</v>
      </c>
      <c r="C547" s="63" t="s">
        <v>1432</v>
      </c>
      <c r="D547" s="64">
        <v>123457333</v>
      </c>
      <c r="E547" s="65" t="s">
        <v>594</v>
      </c>
      <c r="F547" s="53" t="s">
        <v>868</v>
      </c>
      <c r="G547" s="66">
        <v>884</v>
      </c>
      <c r="H547" s="67">
        <v>26</v>
      </c>
      <c r="I547" s="67">
        <v>22984</v>
      </c>
      <c r="J547" s="68">
        <v>123456789</v>
      </c>
      <c r="K547" s="69" t="s">
        <v>887</v>
      </c>
    </row>
    <row r="548" spans="2:11" ht="20.100000000000001" customHeight="1" x14ac:dyDescent="0.3">
      <c r="B548" s="62">
        <v>45475</v>
      </c>
      <c r="C548" s="63" t="s">
        <v>1433</v>
      </c>
      <c r="D548" s="64">
        <v>123457334</v>
      </c>
      <c r="E548" s="70" t="s">
        <v>595</v>
      </c>
      <c r="F548" s="111" t="s">
        <v>868</v>
      </c>
      <c r="G548" s="66">
        <v>664</v>
      </c>
      <c r="H548" s="67">
        <v>23</v>
      </c>
      <c r="I548" s="67">
        <v>15272</v>
      </c>
      <c r="J548" s="68">
        <v>123456789</v>
      </c>
      <c r="K548" s="69" t="s">
        <v>889</v>
      </c>
    </row>
    <row r="549" spans="2:11" ht="20.100000000000001" customHeight="1" x14ac:dyDescent="0.3">
      <c r="B549" s="62">
        <v>45476</v>
      </c>
      <c r="C549" s="63" t="s">
        <v>1434</v>
      </c>
      <c r="D549" s="64">
        <v>123457335</v>
      </c>
      <c r="E549" s="65" t="s">
        <v>596</v>
      </c>
      <c r="F549" s="53" t="s">
        <v>869</v>
      </c>
      <c r="G549" s="66">
        <v>777</v>
      </c>
      <c r="H549" s="67">
        <v>23</v>
      </c>
      <c r="I549" s="67">
        <v>17871</v>
      </c>
      <c r="J549" s="68">
        <v>123456789</v>
      </c>
      <c r="K549" s="69" t="s">
        <v>887</v>
      </c>
    </row>
    <row r="550" spans="2:11" ht="20.100000000000001" customHeight="1" x14ac:dyDescent="0.3">
      <c r="B550" s="62">
        <v>45477</v>
      </c>
      <c r="C550" s="63" t="s">
        <v>1435</v>
      </c>
      <c r="D550" s="64">
        <v>123457336</v>
      </c>
      <c r="E550" s="70" t="s">
        <v>597</v>
      </c>
      <c r="F550" s="111" t="s">
        <v>868</v>
      </c>
      <c r="G550" s="66">
        <v>627</v>
      </c>
      <c r="H550" s="67">
        <v>25</v>
      </c>
      <c r="I550" s="67">
        <v>15675</v>
      </c>
      <c r="J550" s="68">
        <v>123456789</v>
      </c>
      <c r="K550" s="69" t="s">
        <v>887</v>
      </c>
    </row>
    <row r="551" spans="2:11" ht="20.100000000000001" customHeight="1" x14ac:dyDescent="0.3">
      <c r="B551" s="62">
        <v>45478</v>
      </c>
      <c r="C551" s="63" t="s">
        <v>1436</v>
      </c>
      <c r="D551" s="64">
        <v>123457337</v>
      </c>
      <c r="E551" s="65" t="s">
        <v>598</v>
      </c>
      <c r="F551" s="53" t="s">
        <v>868</v>
      </c>
      <c r="G551" s="66">
        <v>633</v>
      </c>
      <c r="H551" s="67">
        <v>23</v>
      </c>
      <c r="I551" s="67">
        <v>14559</v>
      </c>
      <c r="J551" s="68">
        <v>123456789</v>
      </c>
      <c r="K551" s="69" t="s">
        <v>889</v>
      </c>
    </row>
    <row r="552" spans="2:11" ht="20.100000000000001" customHeight="1" x14ac:dyDescent="0.3">
      <c r="B552" s="62">
        <v>45479</v>
      </c>
      <c r="C552" s="63" t="s">
        <v>1437</v>
      </c>
      <c r="D552" s="64">
        <v>123457338</v>
      </c>
      <c r="E552" s="70" t="s">
        <v>599</v>
      </c>
      <c r="F552" s="111" t="s">
        <v>868</v>
      </c>
      <c r="G552" s="66">
        <v>594</v>
      </c>
      <c r="H552" s="67">
        <v>25</v>
      </c>
      <c r="I552" s="67">
        <v>14850</v>
      </c>
      <c r="J552" s="68">
        <v>123456789</v>
      </c>
      <c r="K552" s="69" t="s">
        <v>889</v>
      </c>
    </row>
    <row r="553" spans="2:11" ht="20.100000000000001" customHeight="1" x14ac:dyDescent="0.3">
      <c r="B553" s="62">
        <v>45480</v>
      </c>
      <c r="C553" s="63" t="s">
        <v>1438</v>
      </c>
      <c r="D553" s="64">
        <v>123457339</v>
      </c>
      <c r="E553" s="65" t="s">
        <v>600</v>
      </c>
      <c r="F553" s="53" t="s">
        <v>868</v>
      </c>
      <c r="G553" s="66">
        <v>863</v>
      </c>
      <c r="H553" s="67">
        <v>22</v>
      </c>
      <c r="I553" s="67">
        <v>18986</v>
      </c>
      <c r="J553" s="68">
        <v>123456789</v>
      </c>
      <c r="K553" s="69" t="s">
        <v>887</v>
      </c>
    </row>
    <row r="554" spans="2:11" ht="20.100000000000001" customHeight="1" x14ac:dyDescent="0.3">
      <c r="B554" s="62">
        <v>45481</v>
      </c>
      <c r="C554" s="63" t="s">
        <v>1439</v>
      </c>
      <c r="D554" s="64">
        <v>123457340</v>
      </c>
      <c r="E554" s="70" t="s">
        <v>601</v>
      </c>
      <c r="F554" s="111" t="s">
        <v>869</v>
      </c>
      <c r="G554" s="66">
        <v>866</v>
      </c>
      <c r="H554" s="67">
        <v>29</v>
      </c>
      <c r="I554" s="67">
        <v>25114</v>
      </c>
      <c r="J554" s="68">
        <v>123456789</v>
      </c>
      <c r="K554" s="69" t="s">
        <v>887</v>
      </c>
    </row>
    <row r="555" spans="2:11" ht="20.100000000000001" customHeight="1" x14ac:dyDescent="0.3">
      <c r="B555" s="62">
        <v>45482</v>
      </c>
      <c r="C555" s="63" t="s">
        <v>1440</v>
      </c>
      <c r="D555" s="64">
        <v>123457341</v>
      </c>
      <c r="E555" s="65" t="s">
        <v>602</v>
      </c>
      <c r="F555" s="53" t="s">
        <v>868</v>
      </c>
      <c r="G555" s="66">
        <v>727</v>
      </c>
      <c r="H555" s="67">
        <v>21</v>
      </c>
      <c r="I555" s="67">
        <v>15267</v>
      </c>
      <c r="J555" s="68">
        <v>123456789</v>
      </c>
      <c r="K555" s="69" t="s">
        <v>889</v>
      </c>
    </row>
    <row r="556" spans="2:11" ht="20.100000000000001" customHeight="1" x14ac:dyDescent="0.3">
      <c r="B556" s="62">
        <v>45483</v>
      </c>
      <c r="C556" s="63" t="s">
        <v>1441</v>
      </c>
      <c r="D556" s="64">
        <v>123457342</v>
      </c>
      <c r="E556" s="70" t="s">
        <v>603</v>
      </c>
      <c r="F556" s="111" t="s">
        <v>868</v>
      </c>
      <c r="G556" s="66">
        <v>946</v>
      </c>
      <c r="H556" s="67">
        <v>24</v>
      </c>
      <c r="I556" s="67">
        <v>22704</v>
      </c>
      <c r="J556" s="68">
        <v>123456789</v>
      </c>
      <c r="K556" s="69" t="s">
        <v>887</v>
      </c>
    </row>
    <row r="557" spans="2:11" ht="20.100000000000001" customHeight="1" x14ac:dyDescent="0.3">
      <c r="B557" s="62">
        <v>45484</v>
      </c>
      <c r="C557" s="63" t="s">
        <v>1442</v>
      </c>
      <c r="D557" s="64">
        <v>123457343</v>
      </c>
      <c r="E557" s="65" t="s">
        <v>604</v>
      </c>
      <c r="F557" s="53" t="s">
        <v>869</v>
      </c>
      <c r="G557" s="66">
        <v>643</v>
      </c>
      <c r="H557" s="67">
        <v>29</v>
      </c>
      <c r="I557" s="67">
        <v>18647</v>
      </c>
      <c r="J557" s="68">
        <v>123456789</v>
      </c>
      <c r="K557" s="69" t="s">
        <v>887</v>
      </c>
    </row>
    <row r="558" spans="2:11" ht="20.100000000000001" customHeight="1" x14ac:dyDescent="0.3">
      <c r="B558" s="62">
        <v>45485</v>
      </c>
      <c r="C558" s="63" t="s">
        <v>1443</v>
      </c>
      <c r="D558" s="64">
        <v>123457344</v>
      </c>
      <c r="E558" s="70" t="s">
        <v>605</v>
      </c>
      <c r="F558" s="111" t="s">
        <v>868</v>
      </c>
      <c r="G558" s="66">
        <v>891</v>
      </c>
      <c r="H558" s="67">
        <v>22</v>
      </c>
      <c r="I558" s="67">
        <v>19602</v>
      </c>
      <c r="J558" s="68">
        <v>123456789</v>
      </c>
      <c r="K558" s="69" t="s">
        <v>887</v>
      </c>
    </row>
    <row r="559" spans="2:11" ht="20.100000000000001" customHeight="1" x14ac:dyDescent="0.3">
      <c r="B559" s="62">
        <v>45486</v>
      </c>
      <c r="C559" s="63" t="s">
        <v>1444</v>
      </c>
      <c r="D559" s="64">
        <v>123457345</v>
      </c>
      <c r="E559" s="65" t="s">
        <v>606</v>
      </c>
      <c r="F559" s="53" t="s">
        <v>868</v>
      </c>
      <c r="G559" s="66">
        <v>572</v>
      </c>
      <c r="H559" s="67">
        <v>25</v>
      </c>
      <c r="I559" s="67">
        <v>14300</v>
      </c>
      <c r="J559" s="68">
        <v>123456789</v>
      </c>
      <c r="K559" s="69" t="s">
        <v>887</v>
      </c>
    </row>
    <row r="560" spans="2:11" ht="20.100000000000001" customHeight="1" x14ac:dyDescent="0.3">
      <c r="B560" s="62">
        <v>45487</v>
      </c>
      <c r="C560" s="63" t="s">
        <v>1445</v>
      </c>
      <c r="D560" s="64">
        <v>123457346</v>
      </c>
      <c r="E560" s="70" t="s">
        <v>607</v>
      </c>
      <c r="F560" s="111" t="s">
        <v>868</v>
      </c>
      <c r="G560" s="66">
        <v>515</v>
      </c>
      <c r="H560" s="67">
        <v>30</v>
      </c>
      <c r="I560" s="67">
        <v>15450</v>
      </c>
      <c r="J560" s="68">
        <v>123456789</v>
      </c>
      <c r="K560" s="69" t="s">
        <v>887</v>
      </c>
    </row>
    <row r="561" spans="2:11" ht="20.100000000000001" customHeight="1" x14ac:dyDescent="0.3">
      <c r="B561" s="62">
        <v>45488</v>
      </c>
      <c r="C561" s="63" t="s">
        <v>1446</v>
      </c>
      <c r="D561" s="64">
        <v>123457347</v>
      </c>
      <c r="E561" s="65" t="s">
        <v>608</v>
      </c>
      <c r="F561" s="53" t="s">
        <v>868</v>
      </c>
      <c r="G561" s="66">
        <v>760</v>
      </c>
      <c r="H561" s="67">
        <v>28</v>
      </c>
      <c r="I561" s="67">
        <v>21280</v>
      </c>
      <c r="J561" s="68">
        <v>123456789</v>
      </c>
      <c r="K561" s="69" t="s">
        <v>887</v>
      </c>
    </row>
    <row r="562" spans="2:11" ht="20.100000000000001" customHeight="1" x14ac:dyDescent="0.3">
      <c r="B562" s="62">
        <v>45489</v>
      </c>
      <c r="C562" s="63" t="s">
        <v>1447</v>
      </c>
      <c r="D562" s="64">
        <v>123457348</v>
      </c>
      <c r="E562" s="70" t="s">
        <v>609</v>
      </c>
      <c r="F562" s="111" t="s">
        <v>868</v>
      </c>
      <c r="G562" s="66">
        <v>828</v>
      </c>
      <c r="H562" s="67">
        <v>25</v>
      </c>
      <c r="I562" s="67">
        <v>20700</v>
      </c>
      <c r="J562" s="68">
        <v>123456789</v>
      </c>
      <c r="K562" s="69" t="s">
        <v>887</v>
      </c>
    </row>
    <row r="563" spans="2:11" ht="20.100000000000001" customHeight="1" x14ac:dyDescent="0.3">
      <c r="B563" s="62">
        <v>45490</v>
      </c>
      <c r="C563" s="63" t="s">
        <v>1448</v>
      </c>
      <c r="D563" s="64">
        <v>123457349</v>
      </c>
      <c r="E563" s="65" t="s">
        <v>610</v>
      </c>
      <c r="F563" s="53" t="s">
        <v>868</v>
      </c>
      <c r="G563" s="66">
        <v>612</v>
      </c>
      <c r="H563" s="67">
        <v>21</v>
      </c>
      <c r="I563" s="67">
        <v>12852</v>
      </c>
      <c r="J563" s="68">
        <v>123456789</v>
      </c>
      <c r="K563" s="69" t="s">
        <v>887</v>
      </c>
    </row>
    <row r="564" spans="2:11" ht="20.100000000000001" customHeight="1" x14ac:dyDescent="0.3">
      <c r="B564" s="62">
        <v>45491</v>
      </c>
      <c r="C564" s="63" t="s">
        <v>1449</v>
      </c>
      <c r="D564" s="64">
        <v>123457350</v>
      </c>
      <c r="E564" s="70" t="s">
        <v>611</v>
      </c>
      <c r="F564" s="111" t="s">
        <v>868</v>
      </c>
      <c r="G564" s="66">
        <v>934</v>
      </c>
      <c r="H564" s="67">
        <v>26</v>
      </c>
      <c r="I564" s="67">
        <v>24284</v>
      </c>
      <c r="J564" s="68">
        <v>123456789</v>
      </c>
      <c r="K564" s="69" t="s">
        <v>887</v>
      </c>
    </row>
    <row r="565" spans="2:11" ht="20.100000000000001" customHeight="1" x14ac:dyDescent="0.3">
      <c r="B565" s="62">
        <v>45492</v>
      </c>
      <c r="C565" s="63" t="s">
        <v>1450</v>
      </c>
      <c r="D565" s="64">
        <v>123457351</v>
      </c>
      <c r="E565" s="65" t="s">
        <v>612</v>
      </c>
      <c r="F565" s="53" t="s">
        <v>869</v>
      </c>
      <c r="G565" s="66">
        <v>788</v>
      </c>
      <c r="H565" s="67">
        <v>21</v>
      </c>
      <c r="I565" s="67">
        <v>16548</v>
      </c>
      <c r="J565" s="68">
        <v>123456789</v>
      </c>
      <c r="K565" s="69" t="s">
        <v>887</v>
      </c>
    </row>
    <row r="566" spans="2:11" ht="20.100000000000001" customHeight="1" x14ac:dyDescent="0.3">
      <c r="B566" s="62">
        <v>45493</v>
      </c>
      <c r="C566" s="63" t="s">
        <v>1451</v>
      </c>
      <c r="D566" s="64">
        <v>123457352</v>
      </c>
      <c r="E566" s="70" t="s">
        <v>613</v>
      </c>
      <c r="F566" s="111" t="s">
        <v>868</v>
      </c>
      <c r="G566" s="66">
        <v>686</v>
      </c>
      <c r="H566" s="67">
        <v>26</v>
      </c>
      <c r="I566" s="67">
        <v>17836</v>
      </c>
      <c r="J566" s="68">
        <v>123456789</v>
      </c>
      <c r="K566" s="69" t="s">
        <v>889</v>
      </c>
    </row>
    <row r="567" spans="2:11" ht="20.100000000000001" customHeight="1" x14ac:dyDescent="0.3">
      <c r="B567" s="62">
        <v>45494</v>
      </c>
      <c r="C567" s="63" t="s">
        <v>1452</v>
      </c>
      <c r="D567" s="64">
        <v>123457353</v>
      </c>
      <c r="E567" s="65" t="s">
        <v>614</v>
      </c>
      <c r="F567" s="53" t="s">
        <v>869</v>
      </c>
      <c r="G567" s="66">
        <v>704</v>
      </c>
      <c r="H567" s="67">
        <v>22</v>
      </c>
      <c r="I567" s="67">
        <v>15488</v>
      </c>
      <c r="J567" s="68">
        <v>123456789</v>
      </c>
      <c r="K567" s="69" t="s">
        <v>887</v>
      </c>
    </row>
    <row r="568" spans="2:11" ht="20.100000000000001" customHeight="1" x14ac:dyDescent="0.3">
      <c r="B568" s="62">
        <v>45495</v>
      </c>
      <c r="C568" s="63" t="s">
        <v>1453</v>
      </c>
      <c r="D568" s="64">
        <v>123457354</v>
      </c>
      <c r="E568" s="70" t="s">
        <v>615</v>
      </c>
      <c r="F568" s="111" t="s">
        <v>868</v>
      </c>
      <c r="G568" s="66">
        <v>966</v>
      </c>
      <c r="H568" s="67">
        <v>31</v>
      </c>
      <c r="I568" s="67">
        <v>29946</v>
      </c>
      <c r="J568" s="68">
        <v>123456789</v>
      </c>
      <c r="K568" s="69" t="s">
        <v>887</v>
      </c>
    </row>
    <row r="569" spans="2:11" ht="20.100000000000001" customHeight="1" x14ac:dyDescent="0.3">
      <c r="B569" s="62">
        <v>45496</v>
      </c>
      <c r="C569" s="63" t="s">
        <v>1454</v>
      </c>
      <c r="D569" s="64">
        <v>123457355</v>
      </c>
      <c r="E569" s="65" t="s">
        <v>616</v>
      </c>
      <c r="F569" s="53" t="s">
        <v>868</v>
      </c>
      <c r="G569" s="66">
        <v>986</v>
      </c>
      <c r="H569" s="67">
        <v>26</v>
      </c>
      <c r="I569" s="67">
        <v>25636</v>
      </c>
      <c r="J569" s="68">
        <v>123456789</v>
      </c>
      <c r="K569" s="69" t="s">
        <v>887</v>
      </c>
    </row>
    <row r="570" spans="2:11" ht="20.100000000000001" customHeight="1" x14ac:dyDescent="0.3">
      <c r="B570" s="62">
        <v>45497</v>
      </c>
      <c r="C570" s="63" t="s">
        <v>1455</v>
      </c>
      <c r="D570" s="64">
        <v>123457356</v>
      </c>
      <c r="E570" s="70" t="s">
        <v>617</v>
      </c>
      <c r="F570" s="111" t="s">
        <v>868</v>
      </c>
      <c r="G570" s="66">
        <v>794</v>
      </c>
      <c r="H570" s="67">
        <v>26</v>
      </c>
      <c r="I570" s="67">
        <v>20644</v>
      </c>
      <c r="J570" s="68">
        <v>123456789</v>
      </c>
      <c r="K570" s="69" t="s">
        <v>887</v>
      </c>
    </row>
    <row r="571" spans="2:11" ht="20.100000000000001" customHeight="1" x14ac:dyDescent="0.3">
      <c r="B571" s="62">
        <v>45498</v>
      </c>
      <c r="C571" s="63" t="s">
        <v>1456</v>
      </c>
      <c r="D571" s="64">
        <v>123457357</v>
      </c>
      <c r="E571" s="65" t="s">
        <v>618</v>
      </c>
      <c r="F571" s="53" t="s">
        <v>868</v>
      </c>
      <c r="G571" s="66">
        <v>686</v>
      </c>
      <c r="H571" s="67">
        <v>21</v>
      </c>
      <c r="I571" s="67">
        <v>14406</v>
      </c>
      <c r="J571" s="68">
        <v>123456789</v>
      </c>
      <c r="K571" s="69" t="s">
        <v>887</v>
      </c>
    </row>
    <row r="572" spans="2:11" ht="20.100000000000001" customHeight="1" x14ac:dyDescent="0.3">
      <c r="B572" s="62">
        <v>45499</v>
      </c>
      <c r="C572" s="63" t="s">
        <v>1457</v>
      </c>
      <c r="D572" s="64">
        <v>123457358</v>
      </c>
      <c r="E572" s="70" t="s">
        <v>619</v>
      </c>
      <c r="F572" s="111" t="s">
        <v>868</v>
      </c>
      <c r="G572" s="66">
        <v>966</v>
      </c>
      <c r="H572" s="67">
        <v>31</v>
      </c>
      <c r="I572" s="67">
        <v>29946</v>
      </c>
      <c r="J572" s="68">
        <v>123456789</v>
      </c>
      <c r="K572" s="69" t="s">
        <v>887</v>
      </c>
    </row>
    <row r="573" spans="2:11" ht="20.100000000000001" customHeight="1" x14ac:dyDescent="0.3">
      <c r="B573" s="62">
        <v>45500</v>
      </c>
      <c r="C573" s="63" t="s">
        <v>1458</v>
      </c>
      <c r="D573" s="64">
        <v>123457359</v>
      </c>
      <c r="E573" s="65" t="s">
        <v>620</v>
      </c>
      <c r="F573" s="53" t="s">
        <v>868</v>
      </c>
      <c r="G573" s="66">
        <v>874</v>
      </c>
      <c r="H573" s="67">
        <v>29</v>
      </c>
      <c r="I573" s="67">
        <v>25346</v>
      </c>
      <c r="J573" s="68">
        <v>123456789</v>
      </c>
      <c r="K573" s="69" t="s">
        <v>887</v>
      </c>
    </row>
    <row r="574" spans="2:11" ht="20.100000000000001" customHeight="1" x14ac:dyDescent="0.3">
      <c r="B574" s="62">
        <v>45501</v>
      </c>
      <c r="C574" s="63" t="s">
        <v>1459</v>
      </c>
      <c r="D574" s="64">
        <v>123457360</v>
      </c>
      <c r="E574" s="70" t="s">
        <v>621</v>
      </c>
      <c r="F574" s="111" t="s">
        <v>868</v>
      </c>
      <c r="G574" s="66">
        <v>981</v>
      </c>
      <c r="H574" s="67">
        <v>26</v>
      </c>
      <c r="I574" s="67">
        <v>25506</v>
      </c>
      <c r="J574" s="68">
        <v>123456789</v>
      </c>
      <c r="K574" s="69" t="s">
        <v>887</v>
      </c>
    </row>
    <row r="575" spans="2:11" ht="20.100000000000001" customHeight="1" x14ac:dyDescent="0.3">
      <c r="B575" s="62">
        <v>45502</v>
      </c>
      <c r="C575" s="63" t="s">
        <v>1460</v>
      </c>
      <c r="D575" s="64">
        <v>123457361</v>
      </c>
      <c r="E575" s="65" t="s">
        <v>622</v>
      </c>
      <c r="F575" s="53" t="s">
        <v>868</v>
      </c>
      <c r="G575" s="66">
        <v>581</v>
      </c>
      <c r="H575" s="67">
        <v>24</v>
      </c>
      <c r="I575" s="67">
        <v>13944</v>
      </c>
      <c r="J575" s="68">
        <v>123456789</v>
      </c>
      <c r="K575" s="69" t="s">
        <v>889</v>
      </c>
    </row>
    <row r="576" spans="2:11" ht="20.100000000000001" customHeight="1" x14ac:dyDescent="0.3">
      <c r="B576" s="62">
        <v>45503</v>
      </c>
      <c r="C576" s="63" t="s">
        <v>1461</v>
      </c>
      <c r="D576" s="64">
        <v>123457362</v>
      </c>
      <c r="E576" s="70" t="s">
        <v>623</v>
      </c>
      <c r="F576" s="111" t="s">
        <v>868</v>
      </c>
      <c r="G576" s="66">
        <v>696</v>
      </c>
      <c r="H576" s="67">
        <v>25</v>
      </c>
      <c r="I576" s="67">
        <v>17400</v>
      </c>
      <c r="J576" s="68">
        <v>123456789</v>
      </c>
      <c r="K576" s="69" t="s">
        <v>887</v>
      </c>
    </row>
    <row r="577" spans="2:11" ht="20.100000000000001" customHeight="1" x14ac:dyDescent="0.3">
      <c r="B577" s="62">
        <v>45504</v>
      </c>
      <c r="C577" s="63" t="s">
        <v>1462</v>
      </c>
      <c r="D577" s="64">
        <v>123457363</v>
      </c>
      <c r="E577" s="65" t="s">
        <v>624</v>
      </c>
      <c r="F577" s="53" t="s">
        <v>868</v>
      </c>
      <c r="G577" s="66">
        <v>511</v>
      </c>
      <c r="H577" s="67">
        <v>21</v>
      </c>
      <c r="I577" s="67">
        <v>10731</v>
      </c>
      <c r="J577" s="68">
        <v>123456789</v>
      </c>
      <c r="K577" s="69" t="s">
        <v>887</v>
      </c>
    </row>
    <row r="578" spans="2:11" ht="20.100000000000001" customHeight="1" x14ac:dyDescent="0.3">
      <c r="B578" s="62">
        <v>45505</v>
      </c>
      <c r="C578" s="63" t="s">
        <v>1463</v>
      </c>
      <c r="D578" s="64">
        <v>123457364</v>
      </c>
      <c r="E578" s="70" t="s">
        <v>625</v>
      </c>
      <c r="F578" s="111" t="s">
        <v>869</v>
      </c>
      <c r="G578" s="66">
        <v>656</v>
      </c>
      <c r="H578" s="67">
        <v>26</v>
      </c>
      <c r="I578" s="67">
        <v>17056</v>
      </c>
      <c r="J578" s="68">
        <v>123456789</v>
      </c>
      <c r="K578" s="69" t="s">
        <v>889</v>
      </c>
    </row>
    <row r="579" spans="2:11" ht="20.100000000000001" customHeight="1" x14ac:dyDescent="0.3">
      <c r="B579" s="62">
        <v>45506</v>
      </c>
      <c r="C579" s="63" t="s">
        <v>1464</v>
      </c>
      <c r="D579" s="64">
        <v>123457365</v>
      </c>
      <c r="E579" s="65" t="s">
        <v>626</v>
      </c>
      <c r="F579" s="53" t="s">
        <v>868</v>
      </c>
      <c r="G579" s="66">
        <v>968</v>
      </c>
      <c r="H579" s="67">
        <v>28</v>
      </c>
      <c r="I579" s="67">
        <v>27104</v>
      </c>
      <c r="J579" s="68">
        <v>123456789</v>
      </c>
      <c r="K579" s="69" t="s">
        <v>887</v>
      </c>
    </row>
    <row r="580" spans="2:11" ht="20.100000000000001" customHeight="1" x14ac:dyDescent="0.3">
      <c r="B580" s="62">
        <v>45507</v>
      </c>
      <c r="C580" s="63" t="s">
        <v>1465</v>
      </c>
      <c r="D580" s="64">
        <v>123457366</v>
      </c>
      <c r="E580" s="70" t="s">
        <v>627</v>
      </c>
      <c r="F580" s="111" t="s">
        <v>868</v>
      </c>
      <c r="G580" s="66">
        <v>921</v>
      </c>
      <c r="H580" s="67">
        <v>29</v>
      </c>
      <c r="I580" s="67">
        <v>26709</v>
      </c>
      <c r="J580" s="68">
        <v>123456789</v>
      </c>
      <c r="K580" s="69" t="s">
        <v>887</v>
      </c>
    </row>
    <row r="581" spans="2:11" ht="20.100000000000001" customHeight="1" x14ac:dyDescent="0.3">
      <c r="B581" s="62">
        <v>45508</v>
      </c>
      <c r="C581" s="63" t="s">
        <v>1466</v>
      </c>
      <c r="D581" s="64">
        <v>123457367</v>
      </c>
      <c r="E581" s="65" t="s">
        <v>628</v>
      </c>
      <c r="F581" s="53" t="s">
        <v>868</v>
      </c>
      <c r="G581" s="66">
        <v>805</v>
      </c>
      <c r="H581" s="67">
        <v>31</v>
      </c>
      <c r="I581" s="67">
        <v>24955</v>
      </c>
      <c r="J581" s="68">
        <v>123456789</v>
      </c>
      <c r="K581" s="69" t="s">
        <v>887</v>
      </c>
    </row>
    <row r="582" spans="2:11" ht="20.100000000000001" customHeight="1" x14ac:dyDescent="0.3">
      <c r="B582" s="62">
        <v>45509</v>
      </c>
      <c r="C582" s="63" t="s">
        <v>1467</v>
      </c>
      <c r="D582" s="64">
        <v>123457368</v>
      </c>
      <c r="E582" s="70" t="s">
        <v>629</v>
      </c>
      <c r="F582" s="111" t="s">
        <v>868</v>
      </c>
      <c r="G582" s="66">
        <v>536</v>
      </c>
      <c r="H582" s="67">
        <v>21</v>
      </c>
      <c r="I582" s="67">
        <v>11256</v>
      </c>
      <c r="J582" s="68">
        <v>123456789</v>
      </c>
      <c r="K582" s="69" t="s">
        <v>887</v>
      </c>
    </row>
    <row r="583" spans="2:11" ht="20.100000000000001" customHeight="1" x14ac:dyDescent="0.3">
      <c r="B583" s="62">
        <v>45510</v>
      </c>
      <c r="C583" s="63" t="s">
        <v>1468</v>
      </c>
      <c r="D583" s="64">
        <v>123457369</v>
      </c>
      <c r="E583" s="65" t="s">
        <v>630</v>
      </c>
      <c r="F583" s="53" t="s">
        <v>869</v>
      </c>
      <c r="G583" s="66">
        <v>973</v>
      </c>
      <c r="H583" s="67">
        <v>24</v>
      </c>
      <c r="I583" s="67">
        <v>23352</v>
      </c>
      <c r="J583" s="68">
        <v>123456789</v>
      </c>
      <c r="K583" s="69" t="s">
        <v>887</v>
      </c>
    </row>
    <row r="584" spans="2:11" ht="20.100000000000001" customHeight="1" x14ac:dyDescent="0.3">
      <c r="B584" s="62">
        <v>45511</v>
      </c>
      <c r="C584" s="63" t="s">
        <v>1469</v>
      </c>
      <c r="D584" s="64">
        <v>123457370</v>
      </c>
      <c r="E584" s="70" t="s">
        <v>631</v>
      </c>
      <c r="F584" s="111" t="s">
        <v>869</v>
      </c>
      <c r="G584" s="66">
        <v>666</v>
      </c>
      <c r="H584" s="67">
        <v>24</v>
      </c>
      <c r="I584" s="67">
        <v>15984</v>
      </c>
      <c r="J584" s="68">
        <v>123456789</v>
      </c>
      <c r="K584" s="69" t="s">
        <v>887</v>
      </c>
    </row>
    <row r="585" spans="2:11" ht="20.100000000000001" customHeight="1" x14ac:dyDescent="0.3">
      <c r="B585" s="62">
        <v>45512</v>
      </c>
      <c r="C585" s="63" t="s">
        <v>1470</v>
      </c>
      <c r="D585" s="64">
        <v>123457371</v>
      </c>
      <c r="E585" s="65" t="s">
        <v>632</v>
      </c>
      <c r="F585" s="53" t="s">
        <v>869</v>
      </c>
      <c r="G585" s="66">
        <v>976</v>
      </c>
      <c r="H585" s="67">
        <v>25</v>
      </c>
      <c r="I585" s="67">
        <v>24400</v>
      </c>
      <c r="J585" s="68">
        <v>123456789</v>
      </c>
      <c r="K585" s="69" t="s">
        <v>887</v>
      </c>
    </row>
    <row r="586" spans="2:11" ht="20.100000000000001" customHeight="1" x14ac:dyDescent="0.3">
      <c r="B586" s="62">
        <v>45513</v>
      </c>
      <c r="C586" s="63" t="s">
        <v>1471</v>
      </c>
      <c r="D586" s="64">
        <v>123457372</v>
      </c>
      <c r="E586" s="70" t="s">
        <v>633</v>
      </c>
      <c r="F586" s="111" t="s">
        <v>869</v>
      </c>
      <c r="G586" s="66">
        <v>707</v>
      </c>
      <c r="H586" s="67">
        <v>23</v>
      </c>
      <c r="I586" s="67">
        <v>16261</v>
      </c>
      <c r="J586" s="68">
        <v>123456789</v>
      </c>
      <c r="K586" s="69" t="s">
        <v>889</v>
      </c>
    </row>
    <row r="587" spans="2:11" ht="20.100000000000001" customHeight="1" x14ac:dyDescent="0.3">
      <c r="B587" s="62">
        <v>45514</v>
      </c>
      <c r="C587" s="63" t="s">
        <v>1472</v>
      </c>
      <c r="D587" s="64">
        <v>123457373</v>
      </c>
      <c r="E587" s="65" t="s">
        <v>634</v>
      </c>
      <c r="F587" s="53" t="s">
        <v>869</v>
      </c>
      <c r="G587" s="66">
        <v>728</v>
      </c>
      <c r="H587" s="67">
        <v>22</v>
      </c>
      <c r="I587" s="67">
        <v>16016</v>
      </c>
      <c r="J587" s="68">
        <v>123456789</v>
      </c>
      <c r="K587" s="69" t="s">
        <v>889</v>
      </c>
    </row>
    <row r="588" spans="2:11" ht="20.100000000000001" customHeight="1" x14ac:dyDescent="0.3">
      <c r="B588" s="62">
        <v>45515</v>
      </c>
      <c r="C588" s="63" t="s">
        <v>1473</v>
      </c>
      <c r="D588" s="64">
        <v>123457374</v>
      </c>
      <c r="E588" s="70" t="s">
        <v>635</v>
      </c>
      <c r="F588" s="111" t="s">
        <v>868</v>
      </c>
      <c r="G588" s="66">
        <v>816</v>
      </c>
      <c r="H588" s="67">
        <v>21</v>
      </c>
      <c r="I588" s="67">
        <v>17136</v>
      </c>
      <c r="J588" s="68">
        <v>123456789</v>
      </c>
      <c r="K588" s="69" t="s">
        <v>887</v>
      </c>
    </row>
    <row r="589" spans="2:11" ht="20.100000000000001" customHeight="1" x14ac:dyDescent="0.3">
      <c r="B589" s="62">
        <v>45516</v>
      </c>
      <c r="C589" s="63" t="s">
        <v>1474</v>
      </c>
      <c r="D589" s="64">
        <v>123457375</v>
      </c>
      <c r="E589" s="65" t="s">
        <v>636</v>
      </c>
      <c r="F589" s="53" t="s">
        <v>868</v>
      </c>
      <c r="G589" s="66">
        <v>617</v>
      </c>
      <c r="H589" s="67">
        <v>23</v>
      </c>
      <c r="I589" s="67">
        <v>14191</v>
      </c>
      <c r="J589" s="68">
        <v>123456789</v>
      </c>
      <c r="K589" s="69" t="s">
        <v>887</v>
      </c>
    </row>
    <row r="590" spans="2:11" ht="20.100000000000001" customHeight="1" x14ac:dyDescent="0.3">
      <c r="B590" s="62">
        <v>45517</v>
      </c>
      <c r="C590" s="63" t="s">
        <v>1475</v>
      </c>
      <c r="D590" s="64">
        <v>123457376</v>
      </c>
      <c r="E590" s="70" t="s">
        <v>637</v>
      </c>
      <c r="F590" s="111" t="s">
        <v>869</v>
      </c>
      <c r="G590" s="66">
        <v>585</v>
      </c>
      <c r="H590" s="67">
        <v>23</v>
      </c>
      <c r="I590" s="67">
        <v>13455</v>
      </c>
      <c r="J590" s="68">
        <v>123456789</v>
      </c>
      <c r="K590" s="69" t="s">
        <v>887</v>
      </c>
    </row>
    <row r="591" spans="2:11" ht="20.100000000000001" customHeight="1" x14ac:dyDescent="0.3">
      <c r="B591" s="62">
        <v>45518</v>
      </c>
      <c r="C591" s="63" t="s">
        <v>1476</v>
      </c>
      <c r="D591" s="64">
        <v>123457377</v>
      </c>
      <c r="E591" s="65" t="s">
        <v>638</v>
      </c>
      <c r="F591" s="53" t="s">
        <v>869</v>
      </c>
      <c r="G591" s="66">
        <v>695</v>
      </c>
      <c r="H591" s="67">
        <v>26</v>
      </c>
      <c r="I591" s="67">
        <v>18070</v>
      </c>
      <c r="J591" s="68">
        <v>123456789</v>
      </c>
      <c r="K591" s="69" t="s">
        <v>887</v>
      </c>
    </row>
    <row r="592" spans="2:11" ht="20.100000000000001" customHeight="1" x14ac:dyDescent="0.3">
      <c r="B592" s="62">
        <v>45519</v>
      </c>
      <c r="C592" s="63" t="s">
        <v>1477</v>
      </c>
      <c r="D592" s="64">
        <v>123457378</v>
      </c>
      <c r="E592" s="70" t="s">
        <v>639</v>
      </c>
      <c r="F592" s="111" t="s">
        <v>868</v>
      </c>
      <c r="G592" s="66">
        <v>806</v>
      </c>
      <c r="H592" s="67">
        <v>29</v>
      </c>
      <c r="I592" s="67">
        <v>23374</v>
      </c>
      <c r="J592" s="68">
        <v>123456789</v>
      </c>
      <c r="K592" s="69" t="s">
        <v>887</v>
      </c>
    </row>
    <row r="593" spans="2:11" ht="20.100000000000001" customHeight="1" x14ac:dyDescent="0.3">
      <c r="B593" s="62">
        <v>45520</v>
      </c>
      <c r="C593" s="63" t="s">
        <v>1478</v>
      </c>
      <c r="D593" s="64">
        <v>123457379</v>
      </c>
      <c r="E593" s="65" t="s">
        <v>640</v>
      </c>
      <c r="F593" s="53" t="s">
        <v>869</v>
      </c>
      <c r="G593" s="66">
        <v>747</v>
      </c>
      <c r="H593" s="67">
        <v>24</v>
      </c>
      <c r="I593" s="67">
        <v>17928</v>
      </c>
      <c r="J593" s="68">
        <v>123456789</v>
      </c>
      <c r="K593" s="69" t="s">
        <v>887</v>
      </c>
    </row>
    <row r="594" spans="2:11" ht="20.100000000000001" customHeight="1" x14ac:dyDescent="0.3">
      <c r="B594" s="62">
        <v>45521</v>
      </c>
      <c r="C594" s="63" t="s">
        <v>1479</v>
      </c>
      <c r="D594" s="64">
        <v>123457380</v>
      </c>
      <c r="E594" s="70" t="s">
        <v>641</v>
      </c>
      <c r="F594" s="111" t="s">
        <v>868</v>
      </c>
      <c r="G594" s="66">
        <v>754</v>
      </c>
      <c r="H594" s="67">
        <v>27</v>
      </c>
      <c r="I594" s="67">
        <v>20358</v>
      </c>
      <c r="J594" s="68">
        <v>123456789</v>
      </c>
      <c r="K594" s="69" t="s">
        <v>887</v>
      </c>
    </row>
    <row r="595" spans="2:11" ht="20.100000000000001" customHeight="1" x14ac:dyDescent="0.3">
      <c r="B595" s="62">
        <v>45522</v>
      </c>
      <c r="C595" s="63" t="s">
        <v>1480</v>
      </c>
      <c r="D595" s="64">
        <v>123457381</v>
      </c>
      <c r="E595" s="65" t="s">
        <v>642</v>
      </c>
      <c r="F595" s="53" t="s">
        <v>868</v>
      </c>
      <c r="G595" s="66">
        <v>574</v>
      </c>
      <c r="H595" s="67">
        <v>30</v>
      </c>
      <c r="I595" s="67">
        <v>17220</v>
      </c>
      <c r="J595" s="68">
        <v>123456789</v>
      </c>
      <c r="K595" s="69" t="s">
        <v>887</v>
      </c>
    </row>
    <row r="596" spans="2:11" ht="20.100000000000001" customHeight="1" x14ac:dyDescent="0.3">
      <c r="B596" s="62">
        <v>45523</v>
      </c>
      <c r="C596" s="63" t="s">
        <v>1481</v>
      </c>
      <c r="D596" s="64">
        <v>123457382</v>
      </c>
      <c r="E596" s="70" t="s">
        <v>643</v>
      </c>
      <c r="F596" s="111" t="s">
        <v>868</v>
      </c>
      <c r="G596" s="66">
        <v>846</v>
      </c>
      <c r="H596" s="67">
        <v>26</v>
      </c>
      <c r="I596" s="67">
        <v>21996</v>
      </c>
      <c r="J596" s="68">
        <v>123456789</v>
      </c>
      <c r="K596" s="69" t="s">
        <v>889</v>
      </c>
    </row>
    <row r="597" spans="2:11" ht="20.100000000000001" customHeight="1" x14ac:dyDescent="0.3">
      <c r="B597" s="62">
        <v>45524</v>
      </c>
      <c r="C597" s="63" t="s">
        <v>1482</v>
      </c>
      <c r="D597" s="64">
        <v>123457383</v>
      </c>
      <c r="E597" s="65" t="s">
        <v>644</v>
      </c>
      <c r="F597" s="53" t="s">
        <v>869</v>
      </c>
      <c r="G597" s="66">
        <v>987</v>
      </c>
      <c r="H597" s="67">
        <v>24</v>
      </c>
      <c r="I597" s="67">
        <v>23688</v>
      </c>
      <c r="J597" s="68">
        <v>123456789</v>
      </c>
      <c r="K597" s="69" t="s">
        <v>887</v>
      </c>
    </row>
    <row r="598" spans="2:11" ht="20.100000000000001" customHeight="1" x14ac:dyDescent="0.3">
      <c r="B598" s="62">
        <v>45525</v>
      </c>
      <c r="C598" s="63" t="s">
        <v>1483</v>
      </c>
      <c r="D598" s="64">
        <v>123457384</v>
      </c>
      <c r="E598" s="70" t="s">
        <v>645</v>
      </c>
      <c r="F598" s="111" t="s">
        <v>868</v>
      </c>
      <c r="G598" s="66">
        <v>926</v>
      </c>
      <c r="H598" s="67">
        <v>26</v>
      </c>
      <c r="I598" s="67">
        <v>24076</v>
      </c>
      <c r="J598" s="68">
        <v>123456789</v>
      </c>
      <c r="K598" s="69" t="s">
        <v>887</v>
      </c>
    </row>
    <row r="599" spans="2:11" ht="20.100000000000001" customHeight="1" x14ac:dyDescent="0.3">
      <c r="B599" s="62">
        <v>45526</v>
      </c>
      <c r="C599" s="63" t="s">
        <v>1484</v>
      </c>
      <c r="D599" s="64">
        <v>123457385</v>
      </c>
      <c r="E599" s="65" t="s">
        <v>646</v>
      </c>
      <c r="F599" s="53" t="s">
        <v>868</v>
      </c>
      <c r="G599" s="66">
        <v>815</v>
      </c>
      <c r="H599" s="67">
        <v>31</v>
      </c>
      <c r="I599" s="67">
        <v>25265</v>
      </c>
      <c r="J599" s="68">
        <v>123456789</v>
      </c>
      <c r="K599" s="69" t="s">
        <v>887</v>
      </c>
    </row>
    <row r="600" spans="2:11" ht="20.100000000000001" customHeight="1" x14ac:dyDescent="0.3">
      <c r="B600" s="62">
        <v>45527</v>
      </c>
      <c r="C600" s="63" t="s">
        <v>1485</v>
      </c>
      <c r="D600" s="64">
        <v>123457386</v>
      </c>
      <c r="E600" s="70" t="s">
        <v>647</v>
      </c>
      <c r="F600" s="111" t="s">
        <v>868</v>
      </c>
      <c r="G600" s="66">
        <v>773</v>
      </c>
      <c r="H600" s="67">
        <v>26</v>
      </c>
      <c r="I600" s="67">
        <v>20098</v>
      </c>
      <c r="J600" s="68">
        <v>123456789</v>
      </c>
      <c r="K600" s="69" t="s">
        <v>887</v>
      </c>
    </row>
    <row r="601" spans="2:11" ht="20.100000000000001" customHeight="1" x14ac:dyDescent="0.3">
      <c r="B601" s="62">
        <v>45528</v>
      </c>
      <c r="C601" s="63" t="s">
        <v>1486</v>
      </c>
      <c r="D601" s="64">
        <v>123457387</v>
      </c>
      <c r="E601" s="65" t="s">
        <v>648</v>
      </c>
      <c r="F601" s="53" t="s">
        <v>868</v>
      </c>
      <c r="G601" s="66">
        <v>964</v>
      </c>
      <c r="H601" s="67">
        <v>24</v>
      </c>
      <c r="I601" s="67">
        <v>23136</v>
      </c>
      <c r="J601" s="68">
        <v>123456789</v>
      </c>
      <c r="K601" s="69" t="s">
        <v>887</v>
      </c>
    </row>
    <row r="602" spans="2:11" ht="20.100000000000001" customHeight="1" x14ac:dyDescent="0.3">
      <c r="B602" s="62">
        <v>45529</v>
      </c>
      <c r="C602" s="63" t="s">
        <v>1487</v>
      </c>
      <c r="D602" s="64">
        <v>123457388</v>
      </c>
      <c r="E602" s="70" t="s">
        <v>649</v>
      </c>
      <c r="F602" s="111" t="s">
        <v>868</v>
      </c>
      <c r="G602" s="66">
        <v>274</v>
      </c>
      <c r="H602" s="67">
        <v>25</v>
      </c>
      <c r="I602" s="67">
        <v>6850</v>
      </c>
      <c r="J602" s="68">
        <v>123456789</v>
      </c>
      <c r="K602" s="69" t="s">
        <v>887</v>
      </c>
    </row>
    <row r="603" spans="2:11" ht="20.100000000000001" customHeight="1" x14ac:dyDescent="0.3">
      <c r="B603" s="62">
        <v>45530</v>
      </c>
      <c r="C603" s="63" t="s">
        <v>1488</v>
      </c>
      <c r="D603" s="64">
        <v>123457389</v>
      </c>
      <c r="E603" s="65" t="s">
        <v>650</v>
      </c>
      <c r="F603" s="53" t="s">
        <v>868</v>
      </c>
      <c r="G603" s="66">
        <v>297</v>
      </c>
      <c r="H603" s="67">
        <v>24</v>
      </c>
      <c r="I603" s="67">
        <v>7128</v>
      </c>
      <c r="J603" s="68">
        <v>123456789</v>
      </c>
      <c r="K603" s="69" t="s">
        <v>889</v>
      </c>
    </row>
    <row r="604" spans="2:11" ht="20.100000000000001" customHeight="1" x14ac:dyDescent="0.3">
      <c r="B604" s="62">
        <v>45531</v>
      </c>
      <c r="C604" s="63" t="s">
        <v>1489</v>
      </c>
      <c r="D604" s="64">
        <v>123457390</v>
      </c>
      <c r="E604" s="70" t="s">
        <v>651</v>
      </c>
      <c r="F604" s="111" t="s">
        <v>868</v>
      </c>
      <c r="G604" s="66">
        <v>294</v>
      </c>
      <c r="H604" s="67">
        <v>28</v>
      </c>
      <c r="I604" s="67">
        <v>8232</v>
      </c>
      <c r="J604" s="68">
        <v>123456789</v>
      </c>
      <c r="K604" s="69" t="s">
        <v>887</v>
      </c>
    </row>
    <row r="605" spans="2:11" ht="20.100000000000001" customHeight="1" x14ac:dyDescent="0.3">
      <c r="B605" s="62">
        <v>45532</v>
      </c>
      <c r="C605" s="63" t="s">
        <v>1490</v>
      </c>
      <c r="D605" s="64">
        <v>123457391</v>
      </c>
      <c r="E605" s="65" t="s">
        <v>652</v>
      </c>
      <c r="F605" s="53" t="s">
        <v>868</v>
      </c>
      <c r="G605" s="66">
        <v>250</v>
      </c>
      <c r="H605" s="67">
        <v>26</v>
      </c>
      <c r="I605" s="67">
        <v>6500</v>
      </c>
      <c r="J605" s="68">
        <v>123456789</v>
      </c>
      <c r="K605" s="69" t="s">
        <v>887</v>
      </c>
    </row>
    <row r="606" spans="2:11" ht="20.100000000000001" customHeight="1" x14ac:dyDescent="0.3">
      <c r="B606" s="62">
        <v>45533</v>
      </c>
      <c r="C606" s="63" t="s">
        <v>1491</v>
      </c>
      <c r="D606" s="64">
        <v>123457392</v>
      </c>
      <c r="E606" s="70" t="s">
        <v>653</v>
      </c>
      <c r="F606" s="111" t="s">
        <v>868</v>
      </c>
      <c r="G606" s="66">
        <v>255</v>
      </c>
      <c r="H606" s="67">
        <v>31</v>
      </c>
      <c r="I606" s="67">
        <v>7905</v>
      </c>
      <c r="J606" s="68">
        <v>123456789</v>
      </c>
      <c r="K606" s="69" t="s">
        <v>889</v>
      </c>
    </row>
    <row r="607" spans="2:11" ht="20.100000000000001" customHeight="1" x14ac:dyDescent="0.3">
      <c r="B607" s="62">
        <v>45534</v>
      </c>
      <c r="C607" s="63" t="s">
        <v>1492</v>
      </c>
      <c r="D607" s="64">
        <v>123457393</v>
      </c>
      <c r="E607" s="65" t="s">
        <v>654</v>
      </c>
      <c r="F607" s="53" t="s">
        <v>868</v>
      </c>
      <c r="G607" s="66">
        <v>251</v>
      </c>
      <c r="H607" s="67">
        <v>29</v>
      </c>
      <c r="I607" s="67">
        <v>7279</v>
      </c>
      <c r="J607" s="68">
        <v>123456789</v>
      </c>
      <c r="K607" s="69" t="s">
        <v>887</v>
      </c>
    </row>
    <row r="608" spans="2:11" ht="20.100000000000001" customHeight="1" x14ac:dyDescent="0.3">
      <c r="B608" s="62">
        <v>45535</v>
      </c>
      <c r="C608" s="63" t="s">
        <v>1493</v>
      </c>
      <c r="D608" s="64">
        <v>123457394</v>
      </c>
      <c r="E608" s="70" t="s">
        <v>655</v>
      </c>
      <c r="F608" s="111" t="s">
        <v>868</v>
      </c>
      <c r="G608" s="66">
        <v>293</v>
      </c>
      <c r="H608" s="67">
        <v>22</v>
      </c>
      <c r="I608" s="67">
        <v>6446</v>
      </c>
      <c r="J608" s="68">
        <v>123456789</v>
      </c>
      <c r="K608" s="69" t="s">
        <v>887</v>
      </c>
    </row>
    <row r="609" spans="2:11" ht="20.100000000000001" customHeight="1" x14ac:dyDescent="0.3">
      <c r="B609" s="62">
        <v>45536</v>
      </c>
      <c r="C609" s="63" t="s">
        <v>1494</v>
      </c>
      <c r="D609" s="64">
        <v>123457395</v>
      </c>
      <c r="E609" s="65" t="s">
        <v>656</v>
      </c>
      <c r="F609" s="53" t="s">
        <v>868</v>
      </c>
      <c r="G609" s="66">
        <v>232</v>
      </c>
      <c r="H609" s="67">
        <v>23</v>
      </c>
      <c r="I609" s="67">
        <v>5336</v>
      </c>
      <c r="J609" s="68">
        <v>123456789</v>
      </c>
      <c r="K609" s="69" t="s">
        <v>887</v>
      </c>
    </row>
    <row r="610" spans="2:11" ht="20.100000000000001" customHeight="1" x14ac:dyDescent="0.3">
      <c r="B610" s="62">
        <v>45537</v>
      </c>
      <c r="C610" s="63" t="s">
        <v>1495</v>
      </c>
      <c r="D610" s="64">
        <v>123457396</v>
      </c>
      <c r="E610" s="70" t="s">
        <v>657</v>
      </c>
      <c r="F610" s="111" t="s">
        <v>868</v>
      </c>
      <c r="G610" s="66">
        <v>231</v>
      </c>
      <c r="H610" s="67">
        <v>27</v>
      </c>
      <c r="I610" s="67">
        <v>6237</v>
      </c>
      <c r="J610" s="68">
        <v>123456789</v>
      </c>
      <c r="K610" s="69" t="s">
        <v>889</v>
      </c>
    </row>
    <row r="611" spans="2:11" ht="20.100000000000001" customHeight="1" x14ac:dyDescent="0.3">
      <c r="B611" s="62">
        <v>45538</v>
      </c>
      <c r="C611" s="63" t="s">
        <v>1496</v>
      </c>
      <c r="D611" s="64">
        <v>123457397</v>
      </c>
      <c r="E611" s="65" t="s">
        <v>658</v>
      </c>
      <c r="F611" s="53" t="s">
        <v>869</v>
      </c>
      <c r="G611" s="66">
        <v>218</v>
      </c>
      <c r="H611" s="67">
        <v>21</v>
      </c>
      <c r="I611" s="67">
        <v>4578</v>
      </c>
      <c r="J611" s="68">
        <v>123456789</v>
      </c>
      <c r="K611" s="69" t="s">
        <v>889</v>
      </c>
    </row>
    <row r="612" spans="2:11" ht="20.100000000000001" customHeight="1" x14ac:dyDescent="0.3">
      <c r="B612" s="62">
        <v>45539</v>
      </c>
      <c r="C612" s="63" t="s">
        <v>1497</v>
      </c>
      <c r="D612" s="64">
        <v>123457398</v>
      </c>
      <c r="E612" s="70" t="s">
        <v>659</v>
      </c>
      <c r="F612" s="111" t="s">
        <v>868</v>
      </c>
      <c r="G612" s="66">
        <v>277</v>
      </c>
      <c r="H612" s="67">
        <v>22</v>
      </c>
      <c r="I612" s="67">
        <v>6094</v>
      </c>
      <c r="J612" s="68">
        <v>123456789</v>
      </c>
      <c r="K612" s="69" t="s">
        <v>887</v>
      </c>
    </row>
    <row r="613" spans="2:11" ht="20.100000000000001" customHeight="1" x14ac:dyDescent="0.3">
      <c r="B613" s="62">
        <v>45540</v>
      </c>
      <c r="C613" s="63" t="s">
        <v>1498</v>
      </c>
      <c r="D613" s="64">
        <v>123457399</v>
      </c>
      <c r="E613" s="65" t="s">
        <v>660</v>
      </c>
      <c r="F613" s="53" t="s">
        <v>868</v>
      </c>
      <c r="G613" s="66">
        <v>234</v>
      </c>
      <c r="H613" s="67">
        <v>27</v>
      </c>
      <c r="I613" s="67">
        <v>6318</v>
      </c>
      <c r="J613" s="68">
        <v>123456789</v>
      </c>
      <c r="K613" s="69" t="s">
        <v>887</v>
      </c>
    </row>
    <row r="614" spans="2:11" ht="20.100000000000001" customHeight="1" x14ac:dyDescent="0.3">
      <c r="B614" s="62">
        <v>45541</v>
      </c>
      <c r="C614" s="63" t="s">
        <v>1499</v>
      </c>
      <c r="D614" s="64">
        <v>123457400</v>
      </c>
      <c r="E614" s="70" t="s">
        <v>661</v>
      </c>
      <c r="F614" s="111" t="s">
        <v>868</v>
      </c>
      <c r="G614" s="66">
        <v>231</v>
      </c>
      <c r="H614" s="67">
        <v>28</v>
      </c>
      <c r="I614" s="67">
        <v>6468</v>
      </c>
      <c r="J614" s="68">
        <v>123456789</v>
      </c>
      <c r="K614" s="69" t="s">
        <v>887</v>
      </c>
    </row>
    <row r="615" spans="2:11" ht="20.100000000000001" customHeight="1" x14ac:dyDescent="0.3">
      <c r="B615" s="62">
        <v>45542</v>
      </c>
      <c r="C615" s="63" t="s">
        <v>1500</v>
      </c>
      <c r="D615" s="64">
        <v>123457401</v>
      </c>
      <c r="E615" s="65" t="s">
        <v>662</v>
      </c>
      <c r="F615" s="53" t="s">
        <v>868</v>
      </c>
      <c r="G615" s="66">
        <v>202</v>
      </c>
      <c r="H615" s="67">
        <v>25</v>
      </c>
      <c r="I615" s="67">
        <v>5050</v>
      </c>
      <c r="J615" s="68">
        <v>123456789</v>
      </c>
      <c r="K615" s="69" t="s">
        <v>887</v>
      </c>
    </row>
    <row r="616" spans="2:11" ht="20.100000000000001" customHeight="1" x14ac:dyDescent="0.3">
      <c r="B616" s="62">
        <v>45543</v>
      </c>
      <c r="C616" s="63" t="s">
        <v>1501</v>
      </c>
      <c r="D616" s="64">
        <v>123457402</v>
      </c>
      <c r="E616" s="70" t="s">
        <v>663</v>
      </c>
      <c r="F616" s="111" t="s">
        <v>868</v>
      </c>
      <c r="G616" s="66">
        <v>227</v>
      </c>
      <c r="H616" s="67">
        <v>24</v>
      </c>
      <c r="I616" s="67">
        <v>5448</v>
      </c>
      <c r="J616" s="68">
        <v>123456789</v>
      </c>
      <c r="K616" s="69" t="s">
        <v>887</v>
      </c>
    </row>
    <row r="617" spans="2:11" ht="20.100000000000001" customHeight="1" x14ac:dyDescent="0.3">
      <c r="B617" s="62">
        <v>45544</v>
      </c>
      <c r="C617" s="63" t="s">
        <v>1502</v>
      </c>
      <c r="D617" s="64">
        <v>123457403</v>
      </c>
      <c r="E617" s="65" t="s">
        <v>664</v>
      </c>
      <c r="F617" s="53" t="s">
        <v>868</v>
      </c>
      <c r="G617" s="66">
        <v>269</v>
      </c>
      <c r="H617" s="67">
        <v>22</v>
      </c>
      <c r="I617" s="67">
        <v>5918</v>
      </c>
      <c r="J617" s="68">
        <v>123456789</v>
      </c>
      <c r="K617" s="69" t="s">
        <v>889</v>
      </c>
    </row>
    <row r="618" spans="2:11" ht="20.100000000000001" customHeight="1" x14ac:dyDescent="0.3">
      <c r="B618" s="62">
        <v>45545</v>
      </c>
      <c r="C618" s="63" t="s">
        <v>1503</v>
      </c>
      <c r="D618" s="64">
        <v>123457404</v>
      </c>
      <c r="E618" s="70" t="s">
        <v>665</v>
      </c>
      <c r="F618" s="111" t="s">
        <v>868</v>
      </c>
      <c r="G618" s="66">
        <v>212</v>
      </c>
      <c r="H618" s="67">
        <v>27</v>
      </c>
      <c r="I618" s="67">
        <v>5724</v>
      </c>
      <c r="J618" s="68">
        <v>123456789</v>
      </c>
      <c r="K618" s="69" t="s">
        <v>887</v>
      </c>
    </row>
    <row r="619" spans="2:11" ht="20.100000000000001" customHeight="1" x14ac:dyDescent="0.3">
      <c r="B619" s="62">
        <v>45546</v>
      </c>
      <c r="C619" s="63" t="s">
        <v>1504</v>
      </c>
      <c r="D619" s="64">
        <v>123457405</v>
      </c>
      <c r="E619" s="65" t="s">
        <v>666</v>
      </c>
      <c r="F619" s="53" t="s">
        <v>868</v>
      </c>
      <c r="G619" s="66">
        <v>239</v>
      </c>
      <c r="H619" s="67">
        <v>30</v>
      </c>
      <c r="I619" s="67">
        <v>7170</v>
      </c>
      <c r="J619" s="68">
        <v>123456789</v>
      </c>
      <c r="K619" s="69" t="s">
        <v>887</v>
      </c>
    </row>
    <row r="620" spans="2:11" ht="20.100000000000001" customHeight="1" x14ac:dyDescent="0.3">
      <c r="B620" s="62">
        <v>45547</v>
      </c>
      <c r="C620" s="63" t="s">
        <v>1505</v>
      </c>
      <c r="D620" s="64">
        <v>123457406</v>
      </c>
      <c r="E620" s="70" t="s">
        <v>667</v>
      </c>
      <c r="F620" s="111" t="s">
        <v>869</v>
      </c>
      <c r="G620" s="66">
        <v>264</v>
      </c>
      <c r="H620" s="67">
        <v>30</v>
      </c>
      <c r="I620" s="67">
        <v>7920</v>
      </c>
      <c r="J620" s="68">
        <v>123456789</v>
      </c>
      <c r="K620" s="69" t="s">
        <v>889</v>
      </c>
    </row>
    <row r="621" spans="2:11" ht="20.100000000000001" customHeight="1" x14ac:dyDescent="0.3">
      <c r="B621" s="62">
        <v>45548</v>
      </c>
      <c r="C621" s="63" t="s">
        <v>1506</v>
      </c>
      <c r="D621" s="64">
        <v>123457407</v>
      </c>
      <c r="E621" s="65" t="s">
        <v>668</v>
      </c>
      <c r="F621" s="53" t="s">
        <v>868</v>
      </c>
      <c r="G621" s="66">
        <v>286</v>
      </c>
      <c r="H621" s="67">
        <v>26</v>
      </c>
      <c r="I621" s="67">
        <v>7436</v>
      </c>
      <c r="J621" s="68">
        <v>123456789</v>
      </c>
      <c r="K621" s="69" t="s">
        <v>887</v>
      </c>
    </row>
    <row r="622" spans="2:11" ht="20.100000000000001" customHeight="1" x14ac:dyDescent="0.3">
      <c r="B622" s="62">
        <v>45549</v>
      </c>
      <c r="C622" s="63" t="s">
        <v>1507</v>
      </c>
      <c r="D622" s="64">
        <v>123457408</v>
      </c>
      <c r="E622" s="70" t="s">
        <v>669</v>
      </c>
      <c r="F622" s="111" t="s">
        <v>868</v>
      </c>
      <c r="G622" s="66">
        <v>241</v>
      </c>
      <c r="H622" s="67">
        <v>22</v>
      </c>
      <c r="I622" s="67">
        <v>5302</v>
      </c>
      <c r="J622" s="68">
        <v>123456789</v>
      </c>
      <c r="K622" s="69" t="s">
        <v>887</v>
      </c>
    </row>
    <row r="623" spans="2:11" ht="20.100000000000001" customHeight="1" x14ac:dyDescent="0.3">
      <c r="B623" s="62">
        <v>45550</v>
      </c>
      <c r="C623" s="63" t="s">
        <v>1508</v>
      </c>
      <c r="D623" s="64">
        <v>123457409</v>
      </c>
      <c r="E623" s="65" t="s">
        <v>670</v>
      </c>
      <c r="F623" s="53" t="s">
        <v>868</v>
      </c>
      <c r="G623" s="66">
        <v>293</v>
      </c>
      <c r="H623" s="67">
        <v>23</v>
      </c>
      <c r="I623" s="67">
        <v>6739</v>
      </c>
      <c r="J623" s="68">
        <v>123456789</v>
      </c>
      <c r="K623" s="69" t="s">
        <v>887</v>
      </c>
    </row>
    <row r="624" spans="2:11" ht="20.100000000000001" customHeight="1" x14ac:dyDescent="0.3">
      <c r="B624" s="62">
        <v>45551</v>
      </c>
      <c r="C624" s="63" t="s">
        <v>1509</v>
      </c>
      <c r="D624" s="64">
        <v>123457410</v>
      </c>
      <c r="E624" s="70" t="s">
        <v>671</v>
      </c>
      <c r="F624" s="111" t="s">
        <v>868</v>
      </c>
      <c r="G624" s="66">
        <v>237</v>
      </c>
      <c r="H624" s="67">
        <v>27</v>
      </c>
      <c r="I624" s="67">
        <v>6399</v>
      </c>
      <c r="J624" s="68">
        <v>123456789</v>
      </c>
      <c r="K624" s="69" t="s">
        <v>889</v>
      </c>
    </row>
    <row r="625" spans="2:11" ht="20.100000000000001" customHeight="1" x14ac:dyDescent="0.3">
      <c r="B625" s="62">
        <v>45552</v>
      </c>
      <c r="C625" s="63" t="s">
        <v>1510</v>
      </c>
      <c r="D625" s="64">
        <v>123457411</v>
      </c>
      <c r="E625" s="65" t="s">
        <v>672</v>
      </c>
      <c r="F625" s="53" t="s">
        <v>869</v>
      </c>
      <c r="G625" s="66">
        <v>204</v>
      </c>
      <c r="H625" s="67">
        <v>21</v>
      </c>
      <c r="I625" s="67">
        <v>4284</v>
      </c>
      <c r="J625" s="68">
        <v>123456789</v>
      </c>
      <c r="K625" s="69" t="s">
        <v>889</v>
      </c>
    </row>
    <row r="626" spans="2:11" ht="20.100000000000001" customHeight="1" x14ac:dyDescent="0.3">
      <c r="B626" s="62">
        <v>45553</v>
      </c>
      <c r="C626" s="63" t="s">
        <v>1511</v>
      </c>
      <c r="D626" s="64">
        <v>123457412</v>
      </c>
      <c r="E626" s="70" t="s">
        <v>673</v>
      </c>
      <c r="F626" s="111" t="s">
        <v>868</v>
      </c>
      <c r="G626" s="66">
        <v>285</v>
      </c>
      <c r="H626" s="67">
        <v>29</v>
      </c>
      <c r="I626" s="67">
        <v>8265</v>
      </c>
      <c r="J626" s="68">
        <v>123456789</v>
      </c>
      <c r="K626" s="69" t="s">
        <v>887</v>
      </c>
    </row>
    <row r="627" spans="2:11" ht="20.100000000000001" customHeight="1" x14ac:dyDescent="0.3">
      <c r="B627" s="62">
        <v>45554</v>
      </c>
      <c r="C627" s="63" t="s">
        <v>1512</v>
      </c>
      <c r="D627" s="64">
        <v>123457413</v>
      </c>
      <c r="E627" s="65" t="s">
        <v>674</v>
      </c>
      <c r="F627" s="53" t="s">
        <v>868</v>
      </c>
      <c r="G627" s="66">
        <v>247</v>
      </c>
      <c r="H627" s="67">
        <v>24</v>
      </c>
      <c r="I627" s="67">
        <v>5928</v>
      </c>
      <c r="J627" s="68">
        <v>123456789</v>
      </c>
      <c r="K627" s="69" t="s">
        <v>887</v>
      </c>
    </row>
    <row r="628" spans="2:11" ht="20.100000000000001" customHeight="1" x14ac:dyDescent="0.3">
      <c r="B628" s="62">
        <v>45555</v>
      </c>
      <c r="C628" s="63" t="s">
        <v>1513</v>
      </c>
      <c r="D628" s="64">
        <v>123457414</v>
      </c>
      <c r="E628" s="70" t="s">
        <v>675</v>
      </c>
      <c r="F628" s="111" t="s">
        <v>868</v>
      </c>
      <c r="G628" s="66">
        <v>227</v>
      </c>
      <c r="H628" s="67">
        <v>22</v>
      </c>
      <c r="I628" s="67">
        <v>4994</v>
      </c>
      <c r="J628" s="68">
        <v>123456789</v>
      </c>
      <c r="K628" s="69" t="s">
        <v>887</v>
      </c>
    </row>
    <row r="629" spans="2:11" ht="20.100000000000001" customHeight="1" x14ac:dyDescent="0.3">
      <c r="B629" s="62">
        <v>45556</v>
      </c>
      <c r="C629" s="63" t="s">
        <v>1514</v>
      </c>
      <c r="D629" s="64">
        <v>123457415</v>
      </c>
      <c r="E629" s="65" t="s">
        <v>676</v>
      </c>
      <c r="F629" s="53" t="s">
        <v>868</v>
      </c>
      <c r="G629" s="66">
        <v>266</v>
      </c>
      <c r="H629" s="67">
        <v>24</v>
      </c>
      <c r="I629" s="67">
        <v>6384</v>
      </c>
      <c r="J629" s="68">
        <v>123456789</v>
      </c>
      <c r="K629" s="69" t="s">
        <v>887</v>
      </c>
    </row>
    <row r="630" spans="2:11" ht="20.100000000000001" customHeight="1" x14ac:dyDescent="0.3">
      <c r="B630" s="62">
        <v>45557</v>
      </c>
      <c r="C630" s="63" t="s">
        <v>1515</v>
      </c>
      <c r="D630" s="64">
        <v>123457416</v>
      </c>
      <c r="E630" s="70" t="s">
        <v>677</v>
      </c>
      <c r="F630" s="111" t="s">
        <v>869</v>
      </c>
      <c r="G630" s="66">
        <v>296</v>
      </c>
      <c r="H630" s="67">
        <v>22</v>
      </c>
      <c r="I630" s="67">
        <v>6512</v>
      </c>
      <c r="J630" s="68">
        <v>123456789</v>
      </c>
      <c r="K630" s="69" t="s">
        <v>889</v>
      </c>
    </row>
    <row r="631" spans="2:11" ht="20.100000000000001" customHeight="1" x14ac:dyDescent="0.3">
      <c r="B631" s="62">
        <v>45558</v>
      </c>
      <c r="C631" s="63" t="s">
        <v>1516</v>
      </c>
      <c r="D631" s="64">
        <v>123457417</v>
      </c>
      <c r="E631" s="65" t="s">
        <v>678</v>
      </c>
      <c r="F631" s="53" t="s">
        <v>868</v>
      </c>
      <c r="G631" s="66">
        <v>222</v>
      </c>
      <c r="H631" s="67">
        <v>24</v>
      </c>
      <c r="I631" s="67">
        <v>5328</v>
      </c>
      <c r="J631" s="68">
        <v>123456789</v>
      </c>
      <c r="K631" s="69" t="s">
        <v>887</v>
      </c>
    </row>
    <row r="632" spans="2:11" ht="20.100000000000001" customHeight="1" x14ac:dyDescent="0.3">
      <c r="B632" s="62">
        <v>45559</v>
      </c>
      <c r="C632" s="63" t="s">
        <v>1517</v>
      </c>
      <c r="D632" s="64">
        <v>123457418</v>
      </c>
      <c r="E632" s="70" t="s">
        <v>679</v>
      </c>
      <c r="F632" s="111" t="s">
        <v>868</v>
      </c>
      <c r="G632" s="66">
        <v>234</v>
      </c>
      <c r="H632" s="67">
        <v>23</v>
      </c>
      <c r="I632" s="67">
        <v>5382</v>
      </c>
      <c r="J632" s="68">
        <v>123456789</v>
      </c>
      <c r="K632" s="69" t="s">
        <v>887</v>
      </c>
    </row>
    <row r="633" spans="2:11" ht="20.100000000000001" customHeight="1" x14ac:dyDescent="0.3">
      <c r="B633" s="62">
        <v>45560</v>
      </c>
      <c r="C633" s="63" t="s">
        <v>1518</v>
      </c>
      <c r="D633" s="64">
        <v>123457419</v>
      </c>
      <c r="E633" s="65" t="s">
        <v>680</v>
      </c>
      <c r="F633" s="53" t="s">
        <v>868</v>
      </c>
      <c r="G633" s="66">
        <v>261</v>
      </c>
      <c r="H633" s="67">
        <v>26</v>
      </c>
      <c r="I633" s="67">
        <v>6786</v>
      </c>
      <c r="J633" s="68">
        <v>123456789</v>
      </c>
      <c r="K633" s="69" t="s">
        <v>887</v>
      </c>
    </row>
    <row r="634" spans="2:11" ht="20.100000000000001" customHeight="1" x14ac:dyDescent="0.3">
      <c r="B634" s="62">
        <v>45561</v>
      </c>
      <c r="C634" s="63" t="s">
        <v>1519</v>
      </c>
      <c r="D634" s="64">
        <v>123457420</v>
      </c>
      <c r="E634" s="70" t="s">
        <v>681</v>
      </c>
      <c r="F634" s="111" t="s">
        <v>868</v>
      </c>
      <c r="G634" s="66">
        <v>290</v>
      </c>
      <c r="H634" s="67">
        <v>25</v>
      </c>
      <c r="I634" s="67">
        <v>7250</v>
      </c>
      <c r="J634" s="68">
        <v>123456789</v>
      </c>
      <c r="K634" s="69" t="s">
        <v>887</v>
      </c>
    </row>
    <row r="635" spans="2:11" ht="20.100000000000001" customHeight="1" x14ac:dyDescent="0.3">
      <c r="B635" s="62">
        <v>45562</v>
      </c>
      <c r="C635" s="63" t="s">
        <v>1520</v>
      </c>
      <c r="D635" s="64">
        <v>123457421</v>
      </c>
      <c r="E635" s="65" t="s">
        <v>682</v>
      </c>
      <c r="F635" s="53" t="s">
        <v>869</v>
      </c>
      <c r="G635" s="66">
        <v>202</v>
      </c>
      <c r="H635" s="67">
        <v>31</v>
      </c>
      <c r="I635" s="67">
        <v>6262</v>
      </c>
      <c r="J635" s="68">
        <v>123456789</v>
      </c>
      <c r="K635" s="69" t="s">
        <v>887</v>
      </c>
    </row>
    <row r="636" spans="2:11" ht="20.100000000000001" customHeight="1" x14ac:dyDescent="0.3">
      <c r="B636" s="62">
        <v>45563</v>
      </c>
      <c r="C636" s="63" t="s">
        <v>1521</v>
      </c>
      <c r="D636" s="64">
        <v>123457422</v>
      </c>
      <c r="E636" s="70" t="s">
        <v>683</v>
      </c>
      <c r="F636" s="111" t="s">
        <v>868</v>
      </c>
      <c r="G636" s="66">
        <v>272</v>
      </c>
      <c r="H636" s="67">
        <v>22</v>
      </c>
      <c r="I636" s="67">
        <v>5984</v>
      </c>
      <c r="J636" s="68">
        <v>123456789</v>
      </c>
      <c r="K636" s="69" t="s">
        <v>889</v>
      </c>
    </row>
    <row r="637" spans="2:11" ht="20.100000000000001" customHeight="1" x14ac:dyDescent="0.3">
      <c r="B637" s="62">
        <v>45564</v>
      </c>
      <c r="C637" s="63" t="s">
        <v>1522</v>
      </c>
      <c r="D637" s="64">
        <v>123457423</v>
      </c>
      <c r="E637" s="65" t="s">
        <v>684</v>
      </c>
      <c r="F637" s="53" t="s">
        <v>868</v>
      </c>
      <c r="G637" s="66">
        <v>244</v>
      </c>
      <c r="H637" s="67">
        <v>23</v>
      </c>
      <c r="I637" s="67">
        <v>5612</v>
      </c>
      <c r="J637" s="68">
        <v>123456789</v>
      </c>
      <c r="K637" s="69" t="s">
        <v>887</v>
      </c>
    </row>
    <row r="638" spans="2:11" ht="20.100000000000001" customHeight="1" x14ac:dyDescent="0.3">
      <c r="B638" s="62">
        <v>45565</v>
      </c>
      <c r="C638" s="63" t="s">
        <v>1523</v>
      </c>
      <c r="D638" s="64">
        <v>123457424</v>
      </c>
      <c r="E638" s="70" t="s">
        <v>685</v>
      </c>
      <c r="F638" s="111" t="s">
        <v>868</v>
      </c>
      <c r="G638" s="66">
        <v>275</v>
      </c>
      <c r="H638" s="67">
        <v>28</v>
      </c>
      <c r="I638" s="67">
        <v>7700</v>
      </c>
      <c r="J638" s="68">
        <v>123456789</v>
      </c>
      <c r="K638" s="69" t="s">
        <v>887</v>
      </c>
    </row>
    <row r="639" spans="2:11" ht="20.100000000000001" customHeight="1" x14ac:dyDescent="0.3">
      <c r="B639" s="62">
        <v>45566</v>
      </c>
      <c r="C639" s="63" t="s">
        <v>1524</v>
      </c>
      <c r="D639" s="64">
        <v>123457425</v>
      </c>
      <c r="E639" s="65" t="s">
        <v>686</v>
      </c>
      <c r="F639" s="53" t="s">
        <v>868</v>
      </c>
      <c r="G639" s="66">
        <v>226</v>
      </c>
      <c r="H639" s="67">
        <v>25</v>
      </c>
      <c r="I639" s="67">
        <v>5650</v>
      </c>
      <c r="J639" s="68">
        <v>123456789</v>
      </c>
      <c r="K639" s="69" t="s">
        <v>887</v>
      </c>
    </row>
    <row r="640" spans="2:11" ht="20.100000000000001" customHeight="1" x14ac:dyDescent="0.3">
      <c r="B640" s="62">
        <v>45567</v>
      </c>
      <c r="C640" s="63" t="s">
        <v>1525</v>
      </c>
      <c r="D640" s="64">
        <v>123457426</v>
      </c>
      <c r="E640" s="70" t="s">
        <v>687</v>
      </c>
      <c r="F640" s="111" t="s">
        <v>868</v>
      </c>
      <c r="G640" s="66">
        <f t="shared" ref="G640:G665" ca="1" si="0">RANDBETWEEN(250, 510)</f>
        <v>508</v>
      </c>
      <c r="H640" s="67">
        <v>31</v>
      </c>
      <c r="I640" s="67">
        <v>8711</v>
      </c>
      <c r="J640" s="68">
        <v>123456789</v>
      </c>
      <c r="K640" s="69" t="s">
        <v>887</v>
      </c>
    </row>
    <row r="641" spans="2:11" ht="20.100000000000001" customHeight="1" x14ac:dyDescent="0.3">
      <c r="B641" s="62">
        <v>45568</v>
      </c>
      <c r="C641" s="63" t="s">
        <v>1526</v>
      </c>
      <c r="D641" s="64">
        <v>123457427</v>
      </c>
      <c r="E641" s="65" t="s">
        <v>688</v>
      </c>
      <c r="F641" s="53" t="s">
        <v>869</v>
      </c>
      <c r="G641" s="66">
        <f t="shared" ca="1" si="0"/>
        <v>430</v>
      </c>
      <c r="H641" s="67">
        <v>26</v>
      </c>
      <c r="I641" s="67">
        <v>9360</v>
      </c>
      <c r="J641" s="68">
        <v>123456789</v>
      </c>
      <c r="K641" s="69" t="s">
        <v>887</v>
      </c>
    </row>
    <row r="642" spans="2:11" ht="20.100000000000001" customHeight="1" x14ac:dyDescent="0.3">
      <c r="B642" s="62">
        <v>45569</v>
      </c>
      <c r="C642" s="63" t="s">
        <v>1527</v>
      </c>
      <c r="D642" s="64">
        <v>123457428</v>
      </c>
      <c r="E642" s="70" t="s">
        <v>689</v>
      </c>
      <c r="F642" s="111" t="s">
        <v>868</v>
      </c>
      <c r="G642" s="66">
        <f t="shared" ca="1" si="0"/>
        <v>453</v>
      </c>
      <c r="H642" s="67">
        <v>30</v>
      </c>
      <c r="I642" s="67">
        <v>9120</v>
      </c>
      <c r="J642" s="68">
        <v>123456789</v>
      </c>
      <c r="K642" s="69" t="s">
        <v>887</v>
      </c>
    </row>
    <row r="643" spans="2:11" ht="20.100000000000001" customHeight="1" x14ac:dyDescent="0.3">
      <c r="B643" s="62">
        <v>45570</v>
      </c>
      <c r="C643" s="63" t="s">
        <v>1528</v>
      </c>
      <c r="D643" s="64">
        <v>123457429</v>
      </c>
      <c r="E643" s="65" t="s">
        <v>690</v>
      </c>
      <c r="F643" s="53" t="s">
        <v>868</v>
      </c>
      <c r="G643" s="66">
        <f t="shared" ca="1" si="0"/>
        <v>494</v>
      </c>
      <c r="H643" s="67">
        <v>30</v>
      </c>
      <c r="I643" s="67">
        <v>7800</v>
      </c>
      <c r="J643" s="68">
        <v>123456789</v>
      </c>
      <c r="K643" s="69" t="s">
        <v>887</v>
      </c>
    </row>
    <row r="644" spans="2:11" ht="20.100000000000001" customHeight="1" x14ac:dyDescent="0.3">
      <c r="B644" s="62">
        <v>45571</v>
      </c>
      <c r="C644" s="63" t="s">
        <v>1529</v>
      </c>
      <c r="D644" s="64">
        <v>123457430</v>
      </c>
      <c r="E644" s="70" t="s">
        <v>691</v>
      </c>
      <c r="F644" s="111" t="s">
        <v>869</v>
      </c>
      <c r="G644" s="66">
        <f t="shared" ca="1" si="0"/>
        <v>423</v>
      </c>
      <c r="H644" s="67">
        <v>28</v>
      </c>
      <c r="I644" s="67">
        <v>8960</v>
      </c>
      <c r="J644" s="68">
        <v>123456789</v>
      </c>
      <c r="K644" s="69" t="s">
        <v>887</v>
      </c>
    </row>
    <row r="645" spans="2:11" ht="20.100000000000001" customHeight="1" x14ac:dyDescent="0.3">
      <c r="B645" s="62">
        <v>45572</v>
      </c>
      <c r="C645" s="63" t="s">
        <v>1530</v>
      </c>
      <c r="D645" s="64">
        <v>123457431</v>
      </c>
      <c r="E645" s="65" t="s">
        <v>692</v>
      </c>
      <c r="F645" s="53" t="s">
        <v>868</v>
      </c>
      <c r="G645" s="66">
        <f t="shared" ca="1" si="0"/>
        <v>388</v>
      </c>
      <c r="H645" s="67">
        <v>26</v>
      </c>
      <c r="I645" s="67">
        <v>11258</v>
      </c>
      <c r="J645" s="68">
        <v>123456789</v>
      </c>
      <c r="K645" s="69" t="s">
        <v>887</v>
      </c>
    </row>
    <row r="646" spans="2:11" ht="20.100000000000001" customHeight="1" x14ac:dyDescent="0.3">
      <c r="B646" s="62">
        <v>45573</v>
      </c>
      <c r="C646" s="63" t="s">
        <v>1531</v>
      </c>
      <c r="D646" s="64">
        <v>123457432</v>
      </c>
      <c r="E646" s="70" t="s">
        <v>693</v>
      </c>
      <c r="F646" s="111" t="s">
        <v>869</v>
      </c>
      <c r="G646" s="66">
        <f t="shared" ca="1" si="0"/>
        <v>303</v>
      </c>
      <c r="H646" s="67">
        <v>28</v>
      </c>
      <c r="I646" s="67">
        <v>12908</v>
      </c>
      <c r="J646" s="68">
        <v>123456789</v>
      </c>
      <c r="K646" s="69" t="s">
        <v>887</v>
      </c>
    </row>
    <row r="647" spans="2:11" ht="20.100000000000001" customHeight="1" x14ac:dyDescent="0.3">
      <c r="B647" s="62">
        <v>45574</v>
      </c>
      <c r="C647" s="63" t="s">
        <v>1532</v>
      </c>
      <c r="D647" s="64">
        <v>123457433</v>
      </c>
      <c r="E647" s="65" t="s">
        <v>694</v>
      </c>
      <c r="F647" s="53" t="s">
        <v>868</v>
      </c>
      <c r="G647" s="66">
        <f t="shared" ca="1" si="0"/>
        <v>447</v>
      </c>
      <c r="H647" s="67">
        <v>31</v>
      </c>
      <c r="I647" s="67">
        <v>8463</v>
      </c>
      <c r="J647" s="68">
        <v>123456789</v>
      </c>
      <c r="K647" s="69" t="s">
        <v>887</v>
      </c>
    </row>
    <row r="648" spans="2:11" ht="20.100000000000001" customHeight="1" x14ac:dyDescent="0.3">
      <c r="B648" s="62">
        <v>45575</v>
      </c>
      <c r="C648" s="63" t="s">
        <v>1533</v>
      </c>
      <c r="D648" s="64">
        <v>123457434</v>
      </c>
      <c r="E648" s="70" t="s">
        <v>695</v>
      </c>
      <c r="F648" s="111" t="s">
        <v>868</v>
      </c>
      <c r="G648" s="66">
        <f t="shared" ca="1" si="0"/>
        <v>335</v>
      </c>
      <c r="H648" s="67">
        <v>21</v>
      </c>
      <c r="I648" s="67">
        <v>10122</v>
      </c>
      <c r="J648" s="68">
        <v>123456789</v>
      </c>
      <c r="K648" s="69" t="s">
        <v>887</v>
      </c>
    </row>
    <row r="649" spans="2:11" ht="20.100000000000001" customHeight="1" x14ac:dyDescent="0.3">
      <c r="B649" s="62">
        <v>45576</v>
      </c>
      <c r="C649" s="63" t="s">
        <v>1534</v>
      </c>
      <c r="D649" s="64">
        <v>123457435</v>
      </c>
      <c r="E649" s="65" t="s">
        <v>696</v>
      </c>
      <c r="F649" s="53" t="s">
        <v>869</v>
      </c>
      <c r="G649" s="66">
        <f t="shared" ca="1" si="0"/>
        <v>396</v>
      </c>
      <c r="H649" s="67">
        <v>21</v>
      </c>
      <c r="I649" s="67">
        <v>10101</v>
      </c>
      <c r="J649" s="68">
        <v>123456789</v>
      </c>
      <c r="K649" s="69" t="s">
        <v>889</v>
      </c>
    </row>
    <row r="650" spans="2:11" ht="20.100000000000001" customHeight="1" x14ac:dyDescent="0.3">
      <c r="B650" s="62">
        <v>45577</v>
      </c>
      <c r="C650" s="63" t="s">
        <v>1535</v>
      </c>
      <c r="D650" s="64">
        <v>123457436</v>
      </c>
      <c r="E650" s="70" t="s">
        <v>697</v>
      </c>
      <c r="F650" s="111" t="s">
        <v>868</v>
      </c>
      <c r="G650" s="66">
        <f t="shared" ca="1" si="0"/>
        <v>492</v>
      </c>
      <c r="H650" s="67">
        <v>29</v>
      </c>
      <c r="I650" s="67">
        <v>12905</v>
      </c>
      <c r="J650" s="68">
        <v>123456789</v>
      </c>
      <c r="K650" s="69" t="s">
        <v>889</v>
      </c>
    </row>
    <row r="651" spans="2:11" ht="20.100000000000001" customHeight="1" x14ac:dyDescent="0.3">
      <c r="B651" s="62">
        <v>45578</v>
      </c>
      <c r="C651" s="63" t="s">
        <v>1536</v>
      </c>
      <c r="D651" s="64">
        <v>123457437</v>
      </c>
      <c r="E651" s="65" t="s">
        <v>698</v>
      </c>
      <c r="F651" s="53" t="s">
        <v>868</v>
      </c>
      <c r="G651" s="66">
        <f t="shared" ca="1" si="0"/>
        <v>278</v>
      </c>
      <c r="H651" s="67">
        <v>25</v>
      </c>
      <c r="I651" s="67">
        <v>7950</v>
      </c>
      <c r="J651" s="68">
        <v>123456789</v>
      </c>
      <c r="K651" s="69" t="s">
        <v>889</v>
      </c>
    </row>
    <row r="652" spans="2:11" ht="20.100000000000001" customHeight="1" x14ac:dyDescent="0.3">
      <c r="B652" s="62">
        <v>45579</v>
      </c>
      <c r="C652" s="63" t="s">
        <v>1537</v>
      </c>
      <c r="D652" s="64">
        <v>123457438</v>
      </c>
      <c r="E652" s="70" t="s">
        <v>699</v>
      </c>
      <c r="F652" s="111" t="s">
        <v>868</v>
      </c>
      <c r="G652" s="66">
        <f t="shared" ca="1" si="0"/>
        <v>382</v>
      </c>
      <c r="H652" s="67">
        <v>28</v>
      </c>
      <c r="I652" s="67">
        <v>13720</v>
      </c>
      <c r="J652" s="68">
        <v>123456789</v>
      </c>
      <c r="K652" s="69" t="s">
        <v>887</v>
      </c>
    </row>
    <row r="653" spans="2:11" ht="20.100000000000001" customHeight="1" x14ac:dyDescent="0.3">
      <c r="B653" s="62">
        <v>45580</v>
      </c>
      <c r="C653" s="63" t="s">
        <v>1538</v>
      </c>
      <c r="D653" s="64">
        <v>123457439</v>
      </c>
      <c r="E653" s="65" t="s">
        <v>700</v>
      </c>
      <c r="F653" s="53" t="s">
        <v>868</v>
      </c>
      <c r="G653" s="66">
        <f t="shared" ca="1" si="0"/>
        <v>308</v>
      </c>
      <c r="H653" s="67">
        <v>30</v>
      </c>
      <c r="I653" s="67">
        <v>7530</v>
      </c>
      <c r="J653" s="68">
        <v>123456789</v>
      </c>
      <c r="K653" s="69" t="s">
        <v>889</v>
      </c>
    </row>
    <row r="654" spans="2:11" ht="20.100000000000001" customHeight="1" x14ac:dyDescent="0.3">
      <c r="B654" s="62">
        <v>45581</v>
      </c>
      <c r="C654" s="63" t="s">
        <v>1539</v>
      </c>
      <c r="D654" s="64">
        <v>123457440</v>
      </c>
      <c r="E654" s="70" t="s">
        <v>701</v>
      </c>
      <c r="F654" s="111" t="s">
        <v>869</v>
      </c>
      <c r="G654" s="66">
        <f t="shared" ca="1" si="0"/>
        <v>351</v>
      </c>
      <c r="H654" s="67">
        <v>21</v>
      </c>
      <c r="I654" s="67">
        <v>6510</v>
      </c>
      <c r="J654" s="68">
        <v>123456789</v>
      </c>
      <c r="K654" s="69" t="s">
        <v>887</v>
      </c>
    </row>
    <row r="655" spans="2:11" ht="20.100000000000001" customHeight="1" x14ac:dyDescent="0.3">
      <c r="B655" s="62">
        <v>45582</v>
      </c>
      <c r="C655" s="63" t="s">
        <v>1540</v>
      </c>
      <c r="D655" s="64">
        <v>123457441</v>
      </c>
      <c r="E655" s="65" t="s">
        <v>702</v>
      </c>
      <c r="F655" s="53" t="s">
        <v>869</v>
      </c>
      <c r="G655" s="66">
        <f t="shared" ca="1" si="0"/>
        <v>419</v>
      </c>
      <c r="H655" s="67">
        <v>31</v>
      </c>
      <c r="I655" s="67">
        <v>15748</v>
      </c>
      <c r="J655" s="68">
        <v>123456789</v>
      </c>
      <c r="K655" s="69" t="s">
        <v>887</v>
      </c>
    </row>
    <row r="656" spans="2:11" ht="20.100000000000001" customHeight="1" x14ac:dyDescent="0.3">
      <c r="B656" s="62">
        <v>45583</v>
      </c>
      <c r="C656" s="63" t="s">
        <v>1541</v>
      </c>
      <c r="D656" s="64">
        <v>123457442</v>
      </c>
      <c r="E656" s="70" t="s">
        <v>703</v>
      </c>
      <c r="F656" s="111" t="s">
        <v>868</v>
      </c>
      <c r="G656" s="66">
        <f t="shared" ca="1" si="0"/>
        <v>420</v>
      </c>
      <c r="H656" s="67">
        <v>21</v>
      </c>
      <c r="I656" s="67">
        <v>7644</v>
      </c>
      <c r="J656" s="68">
        <v>123456789</v>
      </c>
      <c r="K656" s="69" t="s">
        <v>887</v>
      </c>
    </row>
    <row r="657" spans="2:11" ht="20.100000000000001" customHeight="1" x14ac:dyDescent="0.3">
      <c r="B657" s="62">
        <v>45584</v>
      </c>
      <c r="C657" s="63" t="s">
        <v>1542</v>
      </c>
      <c r="D657" s="64">
        <v>123457443</v>
      </c>
      <c r="E657" s="65" t="s">
        <v>704</v>
      </c>
      <c r="F657" s="53" t="s">
        <v>868</v>
      </c>
      <c r="G657" s="66">
        <f t="shared" ca="1" si="0"/>
        <v>282</v>
      </c>
      <c r="H657" s="67">
        <v>27</v>
      </c>
      <c r="I657" s="67">
        <v>7830</v>
      </c>
      <c r="J657" s="68">
        <v>123456789</v>
      </c>
      <c r="K657" s="69" t="s">
        <v>887</v>
      </c>
    </row>
    <row r="658" spans="2:11" ht="20.100000000000001" customHeight="1" x14ac:dyDescent="0.3">
      <c r="B658" s="62">
        <v>45585</v>
      </c>
      <c r="C658" s="63" t="s">
        <v>1543</v>
      </c>
      <c r="D658" s="64">
        <v>123457444</v>
      </c>
      <c r="E658" s="70" t="s">
        <v>705</v>
      </c>
      <c r="F658" s="111" t="s">
        <v>869</v>
      </c>
      <c r="G658" s="66">
        <f t="shared" ca="1" si="0"/>
        <v>303</v>
      </c>
      <c r="H658" s="67">
        <v>30</v>
      </c>
      <c r="I658" s="67">
        <v>14040</v>
      </c>
      <c r="J658" s="68">
        <v>123456789</v>
      </c>
      <c r="K658" s="69" t="s">
        <v>889</v>
      </c>
    </row>
    <row r="659" spans="2:11" ht="20.100000000000001" customHeight="1" x14ac:dyDescent="0.3">
      <c r="B659" s="62">
        <v>45586</v>
      </c>
      <c r="C659" s="63" t="s">
        <v>1544</v>
      </c>
      <c r="D659" s="64">
        <v>123457445</v>
      </c>
      <c r="E659" s="65" t="s">
        <v>706</v>
      </c>
      <c r="F659" s="53" t="s">
        <v>869</v>
      </c>
      <c r="G659" s="66">
        <f t="shared" ca="1" si="0"/>
        <v>341</v>
      </c>
      <c r="H659" s="67">
        <v>28</v>
      </c>
      <c r="I659" s="67">
        <v>7812</v>
      </c>
      <c r="J659" s="68">
        <v>123456789</v>
      </c>
      <c r="K659" s="69" t="s">
        <v>889</v>
      </c>
    </row>
    <row r="660" spans="2:11" ht="20.100000000000001" customHeight="1" x14ac:dyDescent="0.3">
      <c r="B660" s="62">
        <v>45587</v>
      </c>
      <c r="C660" s="63" t="s">
        <v>1545</v>
      </c>
      <c r="D660" s="64">
        <v>123457446</v>
      </c>
      <c r="E660" s="70" t="s">
        <v>707</v>
      </c>
      <c r="F660" s="111" t="s">
        <v>869</v>
      </c>
      <c r="G660" s="66">
        <f t="shared" ca="1" si="0"/>
        <v>317</v>
      </c>
      <c r="H660" s="67">
        <v>28</v>
      </c>
      <c r="I660" s="67">
        <v>13300</v>
      </c>
      <c r="J660" s="68">
        <v>123456789</v>
      </c>
      <c r="K660" s="69" t="s">
        <v>887</v>
      </c>
    </row>
    <row r="661" spans="2:11" ht="20.100000000000001" customHeight="1" x14ac:dyDescent="0.3">
      <c r="B661" s="62">
        <v>45588</v>
      </c>
      <c r="C661" s="63" t="s">
        <v>1546</v>
      </c>
      <c r="D661" s="64">
        <v>123457447</v>
      </c>
      <c r="E661" s="65" t="s">
        <v>708</v>
      </c>
      <c r="F661" s="53" t="s">
        <v>869</v>
      </c>
      <c r="G661" s="66">
        <f t="shared" ca="1" si="0"/>
        <v>486</v>
      </c>
      <c r="H661" s="67">
        <v>31</v>
      </c>
      <c r="I661" s="67">
        <v>15500</v>
      </c>
      <c r="J661" s="68">
        <v>123456789</v>
      </c>
      <c r="K661" s="69" t="s">
        <v>887</v>
      </c>
    </row>
    <row r="662" spans="2:11" ht="20.100000000000001" customHeight="1" x14ac:dyDescent="0.3">
      <c r="B662" s="62">
        <v>45589</v>
      </c>
      <c r="C662" s="63" t="s">
        <v>1547</v>
      </c>
      <c r="D662" s="64">
        <v>123457448</v>
      </c>
      <c r="E662" s="70" t="s">
        <v>709</v>
      </c>
      <c r="F662" s="111" t="s">
        <v>869</v>
      </c>
      <c r="G662" s="66">
        <f t="shared" ca="1" si="0"/>
        <v>388</v>
      </c>
      <c r="H662" s="67">
        <v>27</v>
      </c>
      <c r="I662" s="67">
        <v>7263</v>
      </c>
      <c r="J662" s="68">
        <v>123456789</v>
      </c>
      <c r="K662" s="69" t="s">
        <v>887</v>
      </c>
    </row>
    <row r="663" spans="2:11" ht="20.100000000000001" customHeight="1" x14ac:dyDescent="0.3">
      <c r="B663" s="62">
        <v>45590</v>
      </c>
      <c r="C663" s="63" t="s">
        <v>1548</v>
      </c>
      <c r="D663" s="64">
        <v>123457449</v>
      </c>
      <c r="E663" s="65" t="s">
        <v>710</v>
      </c>
      <c r="F663" s="53" t="s">
        <v>868</v>
      </c>
      <c r="G663" s="66">
        <f t="shared" ca="1" si="0"/>
        <v>456</v>
      </c>
      <c r="H663" s="67">
        <v>27</v>
      </c>
      <c r="I663" s="67">
        <v>7101</v>
      </c>
      <c r="J663" s="68">
        <v>123456789</v>
      </c>
      <c r="K663" s="69" t="s">
        <v>887</v>
      </c>
    </row>
    <row r="664" spans="2:11" ht="20.100000000000001" customHeight="1" x14ac:dyDescent="0.3">
      <c r="B664" s="62">
        <v>45591</v>
      </c>
      <c r="C664" s="63" t="s">
        <v>1549</v>
      </c>
      <c r="D664" s="64">
        <v>123457450</v>
      </c>
      <c r="E664" s="70" t="s">
        <v>711</v>
      </c>
      <c r="F664" s="111" t="s">
        <v>868</v>
      </c>
      <c r="G664" s="66">
        <f t="shared" ca="1" si="0"/>
        <v>398</v>
      </c>
      <c r="H664" s="67">
        <v>27</v>
      </c>
      <c r="I664" s="67">
        <v>11799</v>
      </c>
      <c r="J664" s="68">
        <v>123456789</v>
      </c>
      <c r="K664" s="69" t="s">
        <v>887</v>
      </c>
    </row>
    <row r="665" spans="2:11" ht="20.100000000000001" customHeight="1" x14ac:dyDescent="0.3">
      <c r="B665" s="62">
        <v>45592</v>
      </c>
      <c r="C665" s="63" t="s">
        <v>1550</v>
      </c>
      <c r="D665" s="64">
        <v>123457451</v>
      </c>
      <c r="E665" s="65" t="s">
        <v>712</v>
      </c>
      <c r="F665" s="53" t="s">
        <v>869</v>
      </c>
      <c r="G665" s="66">
        <f t="shared" ca="1" si="0"/>
        <v>425</v>
      </c>
      <c r="H665" s="67">
        <v>30</v>
      </c>
      <c r="I665" s="67">
        <v>10230</v>
      </c>
      <c r="J665" s="68">
        <v>123456789</v>
      </c>
      <c r="K665" s="69" t="s">
        <v>887</v>
      </c>
    </row>
    <row r="666" spans="2:11" ht="20.100000000000001" customHeight="1" x14ac:dyDescent="0.3">
      <c r="B666" s="62">
        <v>45593</v>
      </c>
      <c r="C666" s="63" t="s">
        <v>1551</v>
      </c>
      <c r="D666" s="64">
        <v>123457452</v>
      </c>
      <c r="E666" s="70" t="s">
        <v>713</v>
      </c>
      <c r="F666" s="111" t="s">
        <v>868</v>
      </c>
      <c r="G666" s="66">
        <f t="shared" ref="G666:G691" ca="1" si="1">RANDBETWEEN(250, 510)</f>
        <v>381</v>
      </c>
      <c r="H666" s="67">
        <v>28</v>
      </c>
      <c r="I666" s="67">
        <v>7084</v>
      </c>
      <c r="J666" s="68">
        <v>123456789</v>
      </c>
      <c r="K666" s="69" t="s">
        <v>887</v>
      </c>
    </row>
    <row r="667" spans="2:11" ht="20.100000000000001" customHeight="1" x14ac:dyDescent="0.3">
      <c r="B667" s="62">
        <v>45594</v>
      </c>
      <c r="C667" s="63" t="s">
        <v>1552</v>
      </c>
      <c r="D667" s="64">
        <v>123457453</v>
      </c>
      <c r="E667" s="65" t="s">
        <v>714</v>
      </c>
      <c r="F667" s="53" t="s">
        <v>869</v>
      </c>
      <c r="G667" s="66">
        <f t="shared" ca="1" si="1"/>
        <v>386</v>
      </c>
      <c r="H667" s="67">
        <v>25</v>
      </c>
      <c r="I667" s="67">
        <v>6350</v>
      </c>
      <c r="J667" s="68">
        <v>123456789</v>
      </c>
      <c r="K667" s="69" t="s">
        <v>887</v>
      </c>
    </row>
    <row r="668" spans="2:11" ht="20.100000000000001" customHeight="1" x14ac:dyDescent="0.3">
      <c r="B668" s="62">
        <v>45595</v>
      </c>
      <c r="C668" s="63" t="s">
        <v>1553</v>
      </c>
      <c r="D668" s="64">
        <v>123457454</v>
      </c>
      <c r="E668" s="70" t="s">
        <v>715</v>
      </c>
      <c r="F668" s="111" t="s">
        <v>868</v>
      </c>
      <c r="G668" s="66">
        <f t="shared" ca="1" si="1"/>
        <v>302</v>
      </c>
      <c r="H668" s="67">
        <v>27</v>
      </c>
      <c r="I668" s="67">
        <v>7101</v>
      </c>
      <c r="J668" s="68">
        <v>123456789</v>
      </c>
      <c r="K668" s="69" t="s">
        <v>887</v>
      </c>
    </row>
    <row r="669" spans="2:11" ht="20.100000000000001" customHeight="1" x14ac:dyDescent="0.3">
      <c r="B669" s="62">
        <v>45596</v>
      </c>
      <c r="C669" s="63" t="s">
        <v>1554</v>
      </c>
      <c r="D669" s="64">
        <v>123457455</v>
      </c>
      <c r="E669" s="65" t="s">
        <v>716</v>
      </c>
      <c r="F669" s="53" t="s">
        <v>868</v>
      </c>
      <c r="G669" s="66">
        <f t="shared" ca="1" si="1"/>
        <v>471</v>
      </c>
      <c r="H669" s="67">
        <v>23</v>
      </c>
      <c r="I669" s="67">
        <v>10672</v>
      </c>
      <c r="J669" s="68">
        <v>123456789</v>
      </c>
      <c r="K669" s="69" t="s">
        <v>887</v>
      </c>
    </row>
    <row r="670" spans="2:11" ht="20.100000000000001" customHeight="1" x14ac:dyDescent="0.3">
      <c r="B670" s="62">
        <v>45597</v>
      </c>
      <c r="C670" s="63" t="s">
        <v>1555</v>
      </c>
      <c r="D670" s="64">
        <v>123457456</v>
      </c>
      <c r="E670" s="70" t="s">
        <v>717</v>
      </c>
      <c r="F670" s="111" t="s">
        <v>868</v>
      </c>
      <c r="G670" s="66">
        <f t="shared" ca="1" si="1"/>
        <v>357</v>
      </c>
      <c r="H670" s="67">
        <v>23</v>
      </c>
      <c r="I670" s="67">
        <v>6969</v>
      </c>
      <c r="J670" s="68">
        <v>123456789</v>
      </c>
      <c r="K670" s="69" t="s">
        <v>887</v>
      </c>
    </row>
    <row r="671" spans="2:11" ht="20.100000000000001" customHeight="1" x14ac:dyDescent="0.3">
      <c r="B671" s="62">
        <v>45598</v>
      </c>
      <c r="C671" s="63" t="s">
        <v>1556</v>
      </c>
      <c r="D671" s="64">
        <v>123457457</v>
      </c>
      <c r="E671" s="65" t="s">
        <v>718</v>
      </c>
      <c r="F671" s="53" t="s">
        <v>869</v>
      </c>
      <c r="G671" s="66">
        <f t="shared" ca="1" si="1"/>
        <v>296</v>
      </c>
      <c r="H671" s="67">
        <v>22</v>
      </c>
      <c r="I671" s="67">
        <v>8734</v>
      </c>
      <c r="J671" s="68">
        <v>123456789</v>
      </c>
      <c r="K671" s="69" t="s">
        <v>887</v>
      </c>
    </row>
    <row r="672" spans="2:11" ht="20.100000000000001" customHeight="1" x14ac:dyDescent="0.3">
      <c r="B672" s="62">
        <v>45599</v>
      </c>
      <c r="C672" s="63" t="s">
        <v>1557</v>
      </c>
      <c r="D672" s="64">
        <v>123457458</v>
      </c>
      <c r="E672" s="70" t="s">
        <v>719</v>
      </c>
      <c r="F672" s="111" t="s">
        <v>869</v>
      </c>
      <c r="G672" s="66">
        <f t="shared" ca="1" si="1"/>
        <v>307</v>
      </c>
      <c r="H672" s="67">
        <v>29</v>
      </c>
      <c r="I672" s="67">
        <v>14065</v>
      </c>
      <c r="J672" s="68">
        <v>123456789</v>
      </c>
      <c r="K672" s="69" t="s">
        <v>887</v>
      </c>
    </row>
    <row r="673" spans="2:11" ht="20.100000000000001" customHeight="1" x14ac:dyDescent="0.3">
      <c r="B673" s="62">
        <v>45600</v>
      </c>
      <c r="C673" s="63" t="s">
        <v>1558</v>
      </c>
      <c r="D673" s="64">
        <v>123457459</v>
      </c>
      <c r="E673" s="65" t="s">
        <v>720</v>
      </c>
      <c r="F673" s="53" t="s">
        <v>868</v>
      </c>
      <c r="G673" s="66">
        <f t="shared" ca="1" si="1"/>
        <v>471</v>
      </c>
      <c r="H673" s="67">
        <v>21</v>
      </c>
      <c r="I673" s="67">
        <v>8526</v>
      </c>
      <c r="J673" s="68">
        <v>123456789</v>
      </c>
      <c r="K673" s="69" t="s">
        <v>889</v>
      </c>
    </row>
    <row r="674" spans="2:11" ht="20.100000000000001" customHeight="1" x14ac:dyDescent="0.3">
      <c r="B674" s="62">
        <v>45601</v>
      </c>
      <c r="C674" s="63" t="s">
        <v>1559</v>
      </c>
      <c r="D674" s="64">
        <v>123457460</v>
      </c>
      <c r="E674" s="70" t="s">
        <v>721</v>
      </c>
      <c r="F674" s="111" t="s">
        <v>869</v>
      </c>
      <c r="G674" s="66">
        <f t="shared" ca="1" si="1"/>
        <v>477</v>
      </c>
      <c r="H674" s="67">
        <v>23</v>
      </c>
      <c r="I674" s="67">
        <v>9591</v>
      </c>
      <c r="J674" s="68">
        <v>123456789</v>
      </c>
      <c r="K674" s="69" t="s">
        <v>889</v>
      </c>
    </row>
    <row r="675" spans="2:11" ht="20.100000000000001" customHeight="1" x14ac:dyDescent="0.3">
      <c r="B675" s="62">
        <v>45602</v>
      </c>
      <c r="C675" s="63" t="s">
        <v>1560</v>
      </c>
      <c r="D675" s="64">
        <v>123457461</v>
      </c>
      <c r="E675" s="65" t="s">
        <v>722</v>
      </c>
      <c r="F675" s="53" t="s">
        <v>868</v>
      </c>
      <c r="G675" s="66">
        <f t="shared" ca="1" si="1"/>
        <v>421</v>
      </c>
      <c r="H675" s="67">
        <v>23</v>
      </c>
      <c r="I675" s="67">
        <v>10350</v>
      </c>
      <c r="J675" s="68">
        <v>123456789</v>
      </c>
      <c r="K675" s="69" t="s">
        <v>889</v>
      </c>
    </row>
    <row r="676" spans="2:11" ht="20.100000000000001" customHeight="1" x14ac:dyDescent="0.3">
      <c r="B676" s="62">
        <v>45603</v>
      </c>
      <c r="C676" s="63" t="s">
        <v>1561</v>
      </c>
      <c r="D676" s="64">
        <v>123457462</v>
      </c>
      <c r="E676" s="70" t="s">
        <v>723</v>
      </c>
      <c r="F676" s="111" t="s">
        <v>868</v>
      </c>
      <c r="G676" s="66">
        <f t="shared" ca="1" si="1"/>
        <v>486</v>
      </c>
      <c r="H676" s="67">
        <v>23</v>
      </c>
      <c r="I676" s="67">
        <v>10005</v>
      </c>
      <c r="J676" s="68">
        <v>123456789</v>
      </c>
      <c r="K676" s="69" t="s">
        <v>889</v>
      </c>
    </row>
    <row r="677" spans="2:11" ht="20.100000000000001" customHeight="1" x14ac:dyDescent="0.3">
      <c r="B677" s="62">
        <v>45604</v>
      </c>
      <c r="C677" s="63" t="s">
        <v>1562</v>
      </c>
      <c r="D677" s="64">
        <v>123457463</v>
      </c>
      <c r="E677" s="65" t="s">
        <v>724</v>
      </c>
      <c r="F677" s="53" t="s">
        <v>868</v>
      </c>
      <c r="G677" s="66">
        <f t="shared" ca="1" si="1"/>
        <v>350</v>
      </c>
      <c r="H677" s="67">
        <v>31</v>
      </c>
      <c r="I677" s="67">
        <v>11966</v>
      </c>
      <c r="J677" s="68">
        <v>123456789</v>
      </c>
      <c r="K677" s="69" t="s">
        <v>889</v>
      </c>
    </row>
    <row r="678" spans="2:11" ht="20.100000000000001" customHeight="1" x14ac:dyDescent="0.3">
      <c r="B678" s="62">
        <v>45605</v>
      </c>
      <c r="C678" s="63" t="s">
        <v>1563</v>
      </c>
      <c r="D678" s="64">
        <v>123457464</v>
      </c>
      <c r="E678" s="70" t="s">
        <v>725</v>
      </c>
      <c r="F678" s="111" t="s">
        <v>868</v>
      </c>
      <c r="G678" s="66">
        <f t="shared" ca="1" si="1"/>
        <v>477</v>
      </c>
      <c r="H678" s="67">
        <v>30</v>
      </c>
      <c r="I678" s="67">
        <v>14250</v>
      </c>
      <c r="J678" s="68">
        <v>123456789</v>
      </c>
      <c r="K678" s="69" t="s">
        <v>887</v>
      </c>
    </row>
    <row r="679" spans="2:11" ht="20.100000000000001" customHeight="1" x14ac:dyDescent="0.3">
      <c r="B679" s="62">
        <v>45606</v>
      </c>
      <c r="C679" s="63" t="s">
        <v>1564</v>
      </c>
      <c r="D679" s="64">
        <v>123457465</v>
      </c>
      <c r="E679" s="65" t="s">
        <v>726</v>
      </c>
      <c r="F679" s="53" t="s">
        <v>868</v>
      </c>
      <c r="G679" s="66">
        <f t="shared" ca="1" si="1"/>
        <v>417</v>
      </c>
      <c r="H679" s="67">
        <v>26</v>
      </c>
      <c r="I679" s="67">
        <v>11232</v>
      </c>
      <c r="J679" s="68">
        <v>123456789</v>
      </c>
      <c r="K679" s="69" t="s">
        <v>887</v>
      </c>
    </row>
    <row r="680" spans="2:11" ht="20.100000000000001" customHeight="1" x14ac:dyDescent="0.3">
      <c r="B680" s="62">
        <v>45607</v>
      </c>
      <c r="C680" s="63" t="s">
        <v>1565</v>
      </c>
      <c r="D680" s="64">
        <v>123457466</v>
      </c>
      <c r="E680" s="70" t="s">
        <v>727</v>
      </c>
      <c r="F680" s="111" t="s">
        <v>868</v>
      </c>
      <c r="G680" s="66">
        <f t="shared" ca="1" si="1"/>
        <v>302</v>
      </c>
      <c r="H680" s="67">
        <v>26</v>
      </c>
      <c r="I680" s="67">
        <v>10140</v>
      </c>
      <c r="J680" s="68">
        <v>123456789</v>
      </c>
      <c r="K680" s="69" t="s">
        <v>887</v>
      </c>
    </row>
    <row r="681" spans="2:11" ht="20.100000000000001" customHeight="1" x14ac:dyDescent="0.3">
      <c r="B681" s="62">
        <v>45608</v>
      </c>
      <c r="C681" s="63" t="s">
        <v>1566</v>
      </c>
      <c r="D681" s="64">
        <v>123457467</v>
      </c>
      <c r="E681" s="65" t="s">
        <v>728</v>
      </c>
      <c r="F681" s="53" t="s">
        <v>869</v>
      </c>
      <c r="G681" s="66">
        <f t="shared" ca="1" si="1"/>
        <v>280</v>
      </c>
      <c r="H681" s="67">
        <v>26</v>
      </c>
      <c r="I681" s="67">
        <v>6526</v>
      </c>
      <c r="J681" s="68">
        <v>123456789</v>
      </c>
      <c r="K681" s="69" t="s">
        <v>889</v>
      </c>
    </row>
    <row r="682" spans="2:11" ht="20.100000000000001" customHeight="1" x14ac:dyDescent="0.3">
      <c r="B682" s="62">
        <v>45609</v>
      </c>
      <c r="C682" s="63" t="s">
        <v>1567</v>
      </c>
      <c r="D682" s="64">
        <v>123457468</v>
      </c>
      <c r="E682" s="70" t="s">
        <v>729</v>
      </c>
      <c r="F682" s="111" t="s">
        <v>868</v>
      </c>
      <c r="G682" s="66">
        <f t="shared" ca="1" si="1"/>
        <v>501</v>
      </c>
      <c r="H682" s="67">
        <v>31</v>
      </c>
      <c r="I682" s="67">
        <v>10106</v>
      </c>
      <c r="J682" s="68">
        <v>123456789</v>
      </c>
      <c r="K682" s="69" t="s">
        <v>887</v>
      </c>
    </row>
    <row r="683" spans="2:11" ht="20.100000000000001" customHeight="1" x14ac:dyDescent="0.3">
      <c r="B683" s="62">
        <v>45610</v>
      </c>
      <c r="C683" s="63" t="s">
        <v>1568</v>
      </c>
      <c r="D683" s="64">
        <v>123457469</v>
      </c>
      <c r="E683" s="65" t="s">
        <v>730</v>
      </c>
      <c r="F683" s="53" t="s">
        <v>868</v>
      </c>
      <c r="G683" s="66">
        <f t="shared" ca="1" si="1"/>
        <v>362</v>
      </c>
      <c r="H683" s="67">
        <v>29</v>
      </c>
      <c r="I683" s="67">
        <v>10324</v>
      </c>
      <c r="J683" s="68">
        <v>123456789</v>
      </c>
      <c r="K683" s="69" t="s">
        <v>887</v>
      </c>
    </row>
    <row r="684" spans="2:11" ht="20.100000000000001" customHeight="1" x14ac:dyDescent="0.3">
      <c r="B684" s="62">
        <v>45611</v>
      </c>
      <c r="C684" s="63" t="s">
        <v>1569</v>
      </c>
      <c r="D684" s="64">
        <v>123457470</v>
      </c>
      <c r="E684" s="70" t="s">
        <v>731</v>
      </c>
      <c r="F684" s="111" t="s">
        <v>868</v>
      </c>
      <c r="G684" s="66">
        <f t="shared" ca="1" si="1"/>
        <v>284</v>
      </c>
      <c r="H684" s="67">
        <v>26</v>
      </c>
      <c r="I684" s="67">
        <v>10868</v>
      </c>
      <c r="J684" s="68">
        <v>123456789</v>
      </c>
      <c r="K684" s="69" t="s">
        <v>887</v>
      </c>
    </row>
    <row r="685" spans="2:11" ht="20.100000000000001" customHeight="1" x14ac:dyDescent="0.3">
      <c r="B685" s="62">
        <v>45612</v>
      </c>
      <c r="C685" s="63" t="s">
        <v>1570</v>
      </c>
      <c r="D685" s="64">
        <v>123457471</v>
      </c>
      <c r="E685" s="65" t="s">
        <v>732</v>
      </c>
      <c r="F685" s="53" t="s">
        <v>868</v>
      </c>
      <c r="G685" s="66">
        <f t="shared" ca="1" si="1"/>
        <v>354</v>
      </c>
      <c r="H685" s="67">
        <v>21</v>
      </c>
      <c r="I685" s="67">
        <v>6636</v>
      </c>
      <c r="J685" s="68">
        <v>123456789</v>
      </c>
      <c r="K685" s="69" t="s">
        <v>887</v>
      </c>
    </row>
    <row r="686" spans="2:11" ht="20.100000000000001" customHeight="1" x14ac:dyDescent="0.3">
      <c r="B686" s="62">
        <v>45613</v>
      </c>
      <c r="C686" s="63" t="s">
        <v>1571</v>
      </c>
      <c r="D686" s="64">
        <v>123457472</v>
      </c>
      <c r="E686" s="70" t="s">
        <v>733</v>
      </c>
      <c r="F686" s="111" t="s">
        <v>868</v>
      </c>
      <c r="G686" s="66">
        <f t="shared" ca="1" si="1"/>
        <v>389</v>
      </c>
      <c r="H686" s="67">
        <v>29</v>
      </c>
      <c r="I686" s="67">
        <v>8033</v>
      </c>
      <c r="J686" s="68">
        <v>123456789</v>
      </c>
      <c r="K686" s="69" t="s">
        <v>887</v>
      </c>
    </row>
    <row r="687" spans="2:11" ht="20.100000000000001" customHeight="1" x14ac:dyDescent="0.3">
      <c r="B687" s="62">
        <v>45614</v>
      </c>
      <c r="C687" s="63" t="s">
        <v>1572</v>
      </c>
      <c r="D687" s="64">
        <v>123457473</v>
      </c>
      <c r="E687" s="65" t="s">
        <v>734</v>
      </c>
      <c r="F687" s="53" t="s">
        <v>868</v>
      </c>
      <c r="G687" s="66">
        <f t="shared" ca="1" si="1"/>
        <v>288</v>
      </c>
      <c r="H687" s="67">
        <v>28</v>
      </c>
      <c r="I687" s="67">
        <v>10500</v>
      </c>
      <c r="J687" s="68">
        <v>123456789</v>
      </c>
      <c r="K687" s="69" t="s">
        <v>887</v>
      </c>
    </row>
    <row r="688" spans="2:11" ht="20.100000000000001" customHeight="1" x14ac:dyDescent="0.3">
      <c r="B688" s="62">
        <v>45615</v>
      </c>
      <c r="C688" s="63" t="s">
        <v>1573</v>
      </c>
      <c r="D688" s="64">
        <v>123457474</v>
      </c>
      <c r="E688" s="70" t="s">
        <v>735</v>
      </c>
      <c r="F688" s="111" t="s">
        <v>868</v>
      </c>
      <c r="G688" s="66">
        <f t="shared" ca="1" si="1"/>
        <v>510</v>
      </c>
      <c r="H688" s="67">
        <v>23</v>
      </c>
      <c r="I688" s="67">
        <v>7889</v>
      </c>
      <c r="J688" s="68">
        <v>123456789</v>
      </c>
      <c r="K688" s="69" t="s">
        <v>887</v>
      </c>
    </row>
    <row r="689" spans="2:11" ht="20.100000000000001" customHeight="1" x14ac:dyDescent="0.3">
      <c r="B689" s="62">
        <v>45616</v>
      </c>
      <c r="C689" s="63" t="s">
        <v>1574</v>
      </c>
      <c r="D689" s="64">
        <v>123457475</v>
      </c>
      <c r="E689" s="65" t="s">
        <v>736</v>
      </c>
      <c r="F689" s="53" t="s">
        <v>868</v>
      </c>
      <c r="G689" s="66">
        <f t="shared" ca="1" si="1"/>
        <v>396</v>
      </c>
      <c r="H689" s="67">
        <v>23</v>
      </c>
      <c r="I689" s="67">
        <v>6049</v>
      </c>
      <c r="J689" s="68">
        <v>123456789</v>
      </c>
      <c r="K689" s="69" t="s">
        <v>889</v>
      </c>
    </row>
    <row r="690" spans="2:11" ht="20.100000000000001" customHeight="1" x14ac:dyDescent="0.3">
      <c r="B690" s="62">
        <v>45617</v>
      </c>
      <c r="C690" s="63" t="s">
        <v>1575</v>
      </c>
      <c r="D690" s="64">
        <v>123457476</v>
      </c>
      <c r="E690" s="70" t="s">
        <v>737</v>
      </c>
      <c r="F690" s="111" t="s">
        <v>868</v>
      </c>
      <c r="G690" s="66">
        <f t="shared" ca="1" si="1"/>
        <v>342</v>
      </c>
      <c r="H690" s="67">
        <v>25</v>
      </c>
      <c r="I690" s="67">
        <v>7975</v>
      </c>
      <c r="J690" s="68">
        <v>123456789</v>
      </c>
      <c r="K690" s="69" t="s">
        <v>887</v>
      </c>
    </row>
    <row r="691" spans="2:11" ht="20.100000000000001" customHeight="1" x14ac:dyDescent="0.3">
      <c r="B691" s="62">
        <v>45618</v>
      </c>
      <c r="C691" s="63" t="s">
        <v>1576</v>
      </c>
      <c r="D691" s="64">
        <v>123457477</v>
      </c>
      <c r="E691" s="65" t="s">
        <v>738</v>
      </c>
      <c r="F691" s="53" t="s">
        <v>868</v>
      </c>
      <c r="G691" s="66">
        <f t="shared" ca="1" si="1"/>
        <v>329</v>
      </c>
      <c r="H691" s="67">
        <v>30</v>
      </c>
      <c r="I691" s="67">
        <v>8460</v>
      </c>
      <c r="J691" s="68">
        <v>123456789</v>
      </c>
      <c r="K691" s="69" t="s">
        <v>887</v>
      </c>
    </row>
    <row r="692" spans="2:11" ht="20.100000000000001" customHeight="1" x14ac:dyDescent="0.3">
      <c r="B692" s="62">
        <v>45619</v>
      </c>
      <c r="C692" s="63" t="s">
        <v>1577</v>
      </c>
      <c r="D692" s="64">
        <v>123457478</v>
      </c>
      <c r="E692" s="70" t="s">
        <v>739</v>
      </c>
      <c r="F692" s="111" t="s">
        <v>868</v>
      </c>
      <c r="G692" s="66">
        <f ca="1">RANDBETWEEN(250, 510)</f>
        <v>428</v>
      </c>
      <c r="H692" s="67">
        <v>22</v>
      </c>
      <c r="I692" s="67">
        <v>10406</v>
      </c>
      <c r="J692" s="68">
        <v>123456789</v>
      </c>
      <c r="K692" s="69" t="s">
        <v>889</v>
      </c>
    </row>
    <row r="693" spans="2:11" ht="20.100000000000001" customHeight="1" x14ac:dyDescent="0.3">
      <c r="B693" s="62">
        <v>45620</v>
      </c>
      <c r="C693" s="63" t="s">
        <v>1578</v>
      </c>
      <c r="D693" s="64">
        <v>123457479</v>
      </c>
      <c r="E693" s="65" t="s">
        <v>740</v>
      </c>
      <c r="F693" s="53" t="s">
        <v>869</v>
      </c>
      <c r="G693" s="66">
        <v>274</v>
      </c>
      <c r="H693" s="67">
        <v>28</v>
      </c>
      <c r="I693" s="67">
        <v>7672</v>
      </c>
      <c r="J693" s="68">
        <v>123456789</v>
      </c>
      <c r="K693" s="69" t="s">
        <v>887</v>
      </c>
    </row>
    <row r="694" spans="2:11" ht="20.100000000000001" customHeight="1" x14ac:dyDescent="0.3">
      <c r="B694" s="62">
        <v>45621</v>
      </c>
      <c r="C694" s="63" t="s">
        <v>1579</v>
      </c>
      <c r="D694" s="64">
        <v>123457480</v>
      </c>
      <c r="E694" s="70" t="s">
        <v>741</v>
      </c>
      <c r="F694" s="111" t="s">
        <v>869</v>
      </c>
      <c r="G694" s="66">
        <v>297</v>
      </c>
      <c r="H694" s="67">
        <v>26</v>
      </c>
      <c r="I694" s="67">
        <v>7722</v>
      </c>
      <c r="J694" s="68">
        <v>123456789</v>
      </c>
      <c r="K694" s="69" t="s">
        <v>887</v>
      </c>
    </row>
    <row r="695" spans="2:11" ht="20.100000000000001" customHeight="1" x14ac:dyDescent="0.3">
      <c r="B695" s="62">
        <v>45622</v>
      </c>
      <c r="C695" s="63" t="s">
        <v>1580</v>
      </c>
      <c r="D695" s="64">
        <v>123457481</v>
      </c>
      <c r="E695" s="65" t="s">
        <v>742</v>
      </c>
      <c r="F695" s="53" t="s">
        <v>868</v>
      </c>
      <c r="G695" s="66">
        <v>294</v>
      </c>
      <c r="H695" s="67">
        <v>28</v>
      </c>
      <c r="I695" s="67">
        <v>8232</v>
      </c>
      <c r="J695" s="68">
        <v>123456789</v>
      </c>
      <c r="K695" s="69" t="s">
        <v>889</v>
      </c>
    </row>
    <row r="696" spans="2:11" ht="20.100000000000001" customHeight="1" x14ac:dyDescent="0.3">
      <c r="B696" s="62">
        <v>45623</v>
      </c>
      <c r="C696" s="63" t="s">
        <v>1581</v>
      </c>
      <c r="D696" s="64">
        <v>123457482</v>
      </c>
      <c r="E696" s="70" t="s">
        <v>743</v>
      </c>
      <c r="F696" s="111" t="s">
        <v>868</v>
      </c>
      <c r="G696" s="66">
        <v>250</v>
      </c>
      <c r="H696" s="67">
        <v>25</v>
      </c>
      <c r="I696" s="67">
        <v>6250</v>
      </c>
      <c r="J696" s="68">
        <v>123456789</v>
      </c>
      <c r="K696" s="69" t="s">
        <v>887</v>
      </c>
    </row>
    <row r="697" spans="2:11" ht="20.100000000000001" customHeight="1" x14ac:dyDescent="0.3">
      <c r="B697" s="62">
        <v>45624</v>
      </c>
      <c r="C697" s="63" t="s">
        <v>1582</v>
      </c>
      <c r="D697" s="64">
        <v>123457483</v>
      </c>
      <c r="E697" s="65" t="s">
        <v>744</v>
      </c>
      <c r="F697" s="53" t="s">
        <v>868</v>
      </c>
      <c r="G697" s="66">
        <v>255</v>
      </c>
      <c r="H697" s="67">
        <v>28</v>
      </c>
      <c r="I697" s="67">
        <v>7140</v>
      </c>
      <c r="J697" s="68">
        <v>123456789</v>
      </c>
      <c r="K697" s="69" t="s">
        <v>887</v>
      </c>
    </row>
    <row r="698" spans="2:11" ht="20.100000000000001" customHeight="1" x14ac:dyDescent="0.3">
      <c r="B698" s="62">
        <v>45625</v>
      </c>
      <c r="C698" s="63" t="s">
        <v>1583</v>
      </c>
      <c r="D698" s="64">
        <v>123457484</v>
      </c>
      <c r="E698" s="70" t="s">
        <v>745</v>
      </c>
      <c r="F698" s="111" t="s">
        <v>869</v>
      </c>
      <c r="G698" s="66">
        <v>251</v>
      </c>
      <c r="H698" s="67">
        <v>26</v>
      </c>
      <c r="I698" s="67">
        <v>6526</v>
      </c>
      <c r="J698" s="68">
        <v>123456789</v>
      </c>
      <c r="K698" s="69" t="s">
        <v>887</v>
      </c>
    </row>
    <row r="699" spans="2:11" ht="20.100000000000001" customHeight="1" x14ac:dyDescent="0.3">
      <c r="B699" s="62">
        <v>45626</v>
      </c>
      <c r="C699" s="63" t="s">
        <v>1584</v>
      </c>
      <c r="D699" s="64">
        <v>123457485</v>
      </c>
      <c r="E699" s="65" t="s">
        <v>746</v>
      </c>
      <c r="F699" s="53" t="s">
        <v>869</v>
      </c>
      <c r="G699" s="66">
        <v>293</v>
      </c>
      <c r="H699" s="67">
        <v>21</v>
      </c>
      <c r="I699" s="67">
        <v>6153</v>
      </c>
      <c r="J699" s="68">
        <v>123456789</v>
      </c>
      <c r="K699" s="69" t="s">
        <v>887</v>
      </c>
    </row>
    <row r="700" spans="2:11" ht="20.100000000000001" customHeight="1" x14ac:dyDescent="0.3">
      <c r="B700" s="62">
        <v>45627</v>
      </c>
      <c r="C700" s="63" t="s">
        <v>1585</v>
      </c>
      <c r="D700" s="64">
        <v>123457486</v>
      </c>
      <c r="E700" s="70" t="s">
        <v>747</v>
      </c>
      <c r="F700" s="111" t="s">
        <v>869</v>
      </c>
      <c r="G700" s="66">
        <v>232</v>
      </c>
      <c r="H700" s="67">
        <v>21</v>
      </c>
      <c r="I700" s="67">
        <v>4872</v>
      </c>
      <c r="J700" s="68">
        <v>123456789</v>
      </c>
      <c r="K700" s="69" t="s">
        <v>889</v>
      </c>
    </row>
    <row r="701" spans="2:11" ht="20.100000000000001" customHeight="1" x14ac:dyDescent="0.3">
      <c r="B701" s="62">
        <v>45628</v>
      </c>
      <c r="C701" s="63" t="s">
        <v>1586</v>
      </c>
      <c r="D701" s="64">
        <v>123457487</v>
      </c>
      <c r="E701" s="65" t="s">
        <v>748</v>
      </c>
      <c r="F701" s="53" t="s">
        <v>868</v>
      </c>
      <c r="G701" s="66">
        <v>231</v>
      </c>
      <c r="H701" s="67">
        <v>26</v>
      </c>
      <c r="I701" s="67">
        <v>6006</v>
      </c>
      <c r="J701" s="68">
        <v>123456789</v>
      </c>
      <c r="K701" s="69" t="s">
        <v>889</v>
      </c>
    </row>
    <row r="702" spans="2:11" ht="20.100000000000001" customHeight="1" x14ac:dyDescent="0.3">
      <c r="B702" s="62">
        <v>45629</v>
      </c>
      <c r="C702" s="63" t="s">
        <v>1587</v>
      </c>
      <c r="D702" s="64">
        <v>123457488</v>
      </c>
      <c r="E702" s="70" t="s">
        <v>749</v>
      </c>
      <c r="F702" s="111" t="s">
        <v>868</v>
      </c>
      <c r="G702" s="66">
        <v>218</v>
      </c>
      <c r="H702" s="67">
        <v>21</v>
      </c>
      <c r="I702" s="67">
        <v>4578</v>
      </c>
      <c r="J702" s="68">
        <v>123456789</v>
      </c>
      <c r="K702" s="69" t="s">
        <v>887</v>
      </c>
    </row>
    <row r="703" spans="2:11" ht="20.100000000000001" customHeight="1" x14ac:dyDescent="0.3">
      <c r="B703" s="62">
        <v>45630</v>
      </c>
      <c r="C703" s="63" t="s">
        <v>1588</v>
      </c>
      <c r="D703" s="64">
        <v>123457489</v>
      </c>
      <c r="E703" s="65" t="s">
        <v>750</v>
      </c>
      <c r="F703" s="53" t="s">
        <v>868</v>
      </c>
      <c r="G703" s="66">
        <v>277</v>
      </c>
      <c r="H703" s="67">
        <v>31</v>
      </c>
      <c r="I703" s="67">
        <v>8587</v>
      </c>
      <c r="J703" s="68">
        <v>123456789</v>
      </c>
      <c r="K703" s="69" t="s">
        <v>889</v>
      </c>
    </row>
    <row r="704" spans="2:11" ht="20.100000000000001" customHeight="1" x14ac:dyDescent="0.3">
      <c r="B704" s="62">
        <v>45631</v>
      </c>
      <c r="C704" s="63" t="s">
        <v>1589</v>
      </c>
      <c r="D704" s="64">
        <v>123457490</v>
      </c>
      <c r="E704" s="70" t="s">
        <v>751</v>
      </c>
      <c r="F704" s="111" t="s">
        <v>868</v>
      </c>
      <c r="G704" s="66">
        <v>234</v>
      </c>
      <c r="H704" s="67">
        <v>30</v>
      </c>
      <c r="I704" s="67">
        <v>7020</v>
      </c>
      <c r="J704" s="68">
        <v>123456789</v>
      </c>
      <c r="K704" s="69" t="s">
        <v>887</v>
      </c>
    </row>
    <row r="705" spans="2:11" ht="20.100000000000001" customHeight="1" x14ac:dyDescent="0.3">
      <c r="B705" s="62">
        <v>45632</v>
      </c>
      <c r="C705" s="63" t="s">
        <v>1590</v>
      </c>
      <c r="D705" s="64">
        <v>123457491</v>
      </c>
      <c r="E705" s="65" t="s">
        <v>752</v>
      </c>
      <c r="F705" s="53" t="s">
        <v>868</v>
      </c>
      <c r="G705" s="66">
        <v>231</v>
      </c>
      <c r="H705" s="67">
        <v>30</v>
      </c>
      <c r="I705" s="67">
        <v>6930</v>
      </c>
      <c r="J705" s="68">
        <v>123456789</v>
      </c>
      <c r="K705" s="69" t="s">
        <v>889</v>
      </c>
    </row>
    <row r="706" spans="2:11" ht="20.100000000000001" customHeight="1" x14ac:dyDescent="0.3">
      <c r="B706" s="62">
        <v>45633</v>
      </c>
      <c r="C706" s="63" t="s">
        <v>1591</v>
      </c>
      <c r="D706" s="64">
        <v>123457492</v>
      </c>
      <c r="E706" s="70" t="s">
        <v>753</v>
      </c>
      <c r="F706" s="111" t="s">
        <v>868</v>
      </c>
      <c r="G706" s="66">
        <v>202</v>
      </c>
      <c r="H706" s="67">
        <v>26</v>
      </c>
      <c r="I706" s="67">
        <v>5252</v>
      </c>
      <c r="J706" s="68">
        <v>123456789</v>
      </c>
      <c r="K706" s="69" t="s">
        <v>889</v>
      </c>
    </row>
    <row r="707" spans="2:11" ht="20.100000000000001" customHeight="1" x14ac:dyDescent="0.3">
      <c r="B707" s="62">
        <v>45634</v>
      </c>
      <c r="C707" s="63" t="s">
        <v>1592</v>
      </c>
      <c r="D707" s="64">
        <v>123457493</v>
      </c>
      <c r="E707" s="65" t="s">
        <v>754</v>
      </c>
      <c r="F707" s="53" t="s">
        <v>869</v>
      </c>
      <c r="G707" s="66">
        <v>227</v>
      </c>
      <c r="H707" s="67">
        <v>30</v>
      </c>
      <c r="I707" s="67">
        <v>6810</v>
      </c>
      <c r="J707" s="68">
        <v>123456789</v>
      </c>
      <c r="K707" s="69" t="s">
        <v>887</v>
      </c>
    </row>
    <row r="708" spans="2:11" ht="20.100000000000001" customHeight="1" x14ac:dyDescent="0.3">
      <c r="B708" s="62">
        <v>45635</v>
      </c>
      <c r="C708" s="63" t="s">
        <v>1593</v>
      </c>
      <c r="D708" s="64">
        <v>123457494</v>
      </c>
      <c r="E708" s="70" t="s">
        <v>755</v>
      </c>
      <c r="F708" s="111" t="s">
        <v>868</v>
      </c>
      <c r="G708" s="66">
        <v>269</v>
      </c>
      <c r="H708" s="67">
        <v>30</v>
      </c>
      <c r="I708" s="67">
        <v>8070</v>
      </c>
      <c r="J708" s="68">
        <v>123456789</v>
      </c>
      <c r="K708" s="69" t="s">
        <v>889</v>
      </c>
    </row>
    <row r="709" spans="2:11" ht="20.100000000000001" customHeight="1" x14ac:dyDescent="0.3">
      <c r="B709" s="62">
        <v>45636</v>
      </c>
      <c r="C709" s="63" t="s">
        <v>1594</v>
      </c>
      <c r="D709" s="64">
        <v>123457495</v>
      </c>
      <c r="E709" s="65" t="s">
        <v>756</v>
      </c>
      <c r="F709" s="53" t="s">
        <v>868</v>
      </c>
      <c r="G709" s="66">
        <v>212</v>
      </c>
      <c r="H709" s="67">
        <v>28</v>
      </c>
      <c r="I709" s="67">
        <v>5936</v>
      </c>
      <c r="J709" s="68">
        <v>123456789</v>
      </c>
      <c r="K709" s="69" t="s">
        <v>887</v>
      </c>
    </row>
    <row r="710" spans="2:11" ht="20.100000000000001" customHeight="1" x14ac:dyDescent="0.3">
      <c r="B710" s="62">
        <v>45637</v>
      </c>
      <c r="C710" s="63" t="s">
        <v>1595</v>
      </c>
      <c r="D710" s="64">
        <v>123457496</v>
      </c>
      <c r="E710" s="70" t="s">
        <v>757</v>
      </c>
      <c r="F710" s="111" t="s">
        <v>868</v>
      </c>
      <c r="G710" s="66">
        <v>239</v>
      </c>
      <c r="H710" s="67">
        <v>21</v>
      </c>
      <c r="I710" s="67">
        <v>5019</v>
      </c>
      <c r="J710" s="68">
        <v>123456789</v>
      </c>
      <c r="K710" s="69" t="s">
        <v>889</v>
      </c>
    </row>
    <row r="711" spans="2:11" ht="20.100000000000001" customHeight="1" x14ac:dyDescent="0.3">
      <c r="B711" s="62">
        <v>45638</v>
      </c>
      <c r="C711" s="63" t="s">
        <v>1596</v>
      </c>
      <c r="D711" s="64">
        <v>123457497</v>
      </c>
      <c r="E711" s="65" t="s">
        <v>758</v>
      </c>
      <c r="F711" s="53" t="s">
        <v>868</v>
      </c>
      <c r="G711" s="66">
        <v>264</v>
      </c>
      <c r="H711" s="67">
        <v>31</v>
      </c>
      <c r="I711" s="67">
        <v>8184</v>
      </c>
      <c r="J711" s="68">
        <v>123456789</v>
      </c>
      <c r="K711" s="69" t="s">
        <v>887</v>
      </c>
    </row>
    <row r="712" spans="2:11" ht="20.100000000000001" customHeight="1" x14ac:dyDescent="0.3">
      <c r="B712" s="62">
        <v>45639</v>
      </c>
      <c r="C712" s="63" t="s">
        <v>1597</v>
      </c>
      <c r="D712" s="64">
        <v>123457498</v>
      </c>
      <c r="E712" s="70" t="s">
        <v>759</v>
      </c>
      <c r="F712" s="111" t="s">
        <v>869</v>
      </c>
      <c r="G712" s="66">
        <v>286</v>
      </c>
      <c r="H712" s="67">
        <v>29</v>
      </c>
      <c r="I712" s="67">
        <v>8294</v>
      </c>
      <c r="J712" s="68">
        <v>123456789</v>
      </c>
      <c r="K712" s="69" t="s">
        <v>887</v>
      </c>
    </row>
    <row r="713" spans="2:11" ht="20.100000000000001" customHeight="1" x14ac:dyDescent="0.3">
      <c r="B713" s="62">
        <v>45640</v>
      </c>
      <c r="C713" s="63" t="s">
        <v>1598</v>
      </c>
      <c r="D713" s="64">
        <v>123457499</v>
      </c>
      <c r="E713" s="65" t="s">
        <v>760</v>
      </c>
      <c r="F713" s="53" t="s">
        <v>868</v>
      </c>
      <c r="G713" s="66">
        <v>241</v>
      </c>
      <c r="H713" s="67">
        <v>21</v>
      </c>
      <c r="I713" s="67">
        <v>5061</v>
      </c>
      <c r="J713" s="68">
        <v>123456789</v>
      </c>
      <c r="K713" s="69" t="s">
        <v>889</v>
      </c>
    </row>
    <row r="714" spans="2:11" ht="20.100000000000001" customHeight="1" x14ac:dyDescent="0.3">
      <c r="B714" s="62">
        <v>45641</v>
      </c>
      <c r="C714" s="63" t="s">
        <v>1599</v>
      </c>
      <c r="D714" s="64">
        <v>123457500</v>
      </c>
      <c r="E714" s="70" t="s">
        <v>761</v>
      </c>
      <c r="F714" s="111" t="s">
        <v>869</v>
      </c>
      <c r="G714" s="66">
        <v>293</v>
      </c>
      <c r="H714" s="67">
        <v>26</v>
      </c>
      <c r="I714" s="67">
        <v>7618</v>
      </c>
      <c r="J714" s="68">
        <v>123456789</v>
      </c>
      <c r="K714" s="69" t="s">
        <v>887</v>
      </c>
    </row>
    <row r="715" spans="2:11" ht="20.100000000000001" customHeight="1" x14ac:dyDescent="0.3">
      <c r="B715" s="62">
        <v>45642</v>
      </c>
      <c r="C715" s="63" t="s">
        <v>1600</v>
      </c>
      <c r="D715" s="64">
        <v>123457501</v>
      </c>
      <c r="E715" s="65" t="s">
        <v>762</v>
      </c>
      <c r="F715" s="53" t="s">
        <v>868</v>
      </c>
      <c r="G715" s="66">
        <v>237</v>
      </c>
      <c r="H715" s="67">
        <v>29</v>
      </c>
      <c r="I715" s="67">
        <v>6873</v>
      </c>
      <c r="J715" s="68">
        <v>123456789</v>
      </c>
      <c r="K715" s="69" t="s">
        <v>887</v>
      </c>
    </row>
    <row r="716" spans="2:11" ht="20.100000000000001" customHeight="1" x14ac:dyDescent="0.3">
      <c r="B716" s="62">
        <v>45643</v>
      </c>
      <c r="C716" s="63" t="s">
        <v>1601</v>
      </c>
      <c r="D716" s="64">
        <v>123457502</v>
      </c>
      <c r="E716" s="70" t="s">
        <v>763</v>
      </c>
      <c r="F716" s="111" t="s">
        <v>869</v>
      </c>
      <c r="G716" s="66">
        <v>204</v>
      </c>
      <c r="H716" s="67">
        <v>25</v>
      </c>
      <c r="I716" s="67">
        <v>5100</v>
      </c>
      <c r="J716" s="68">
        <v>123456789</v>
      </c>
      <c r="K716" s="69" t="s">
        <v>889</v>
      </c>
    </row>
    <row r="717" spans="2:11" ht="20.100000000000001" customHeight="1" x14ac:dyDescent="0.3">
      <c r="B717" s="62">
        <v>45644</v>
      </c>
      <c r="C717" s="63" t="s">
        <v>1602</v>
      </c>
      <c r="D717" s="64">
        <v>123457503</v>
      </c>
      <c r="E717" s="65" t="s">
        <v>764</v>
      </c>
      <c r="F717" s="53" t="s">
        <v>868</v>
      </c>
      <c r="G717" s="66">
        <v>285</v>
      </c>
      <c r="H717" s="67">
        <v>26</v>
      </c>
      <c r="I717" s="67">
        <v>7410</v>
      </c>
      <c r="J717" s="68">
        <v>123456789</v>
      </c>
      <c r="K717" s="69" t="s">
        <v>887</v>
      </c>
    </row>
    <row r="718" spans="2:11" ht="20.100000000000001" customHeight="1" x14ac:dyDescent="0.3">
      <c r="B718" s="62">
        <v>45645</v>
      </c>
      <c r="C718" s="63" t="s">
        <v>1603</v>
      </c>
      <c r="D718" s="64">
        <v>123457504</v>
      </c>
      <c r="E718" s="70" t="s">
        <v>765</v>
      </c>
      <c r="F718" s="111" t="s">
        <v>868</v>
      </c>
      <c r="G718" s="66">
        <v>247</v>
      </c>
      <c r="H718" s="67">
        <v>27</v>
      </c>
      <c r="I718" s="67">
        <v>6669</v>
      </c>
      <c r="J718" s="68">
        <v>123456789</v>
      </c>
      <c r="K718" s="69" t="s">
        <v>887</v>
      </c>
    </row>
    <row r="719" spans="2:11" ht="20.100000000000001" customHeight="1" x14ac:dyDescent="0.3">
      <c r="B719" s="62">
        <v>45646</v>
      </c>
      <c r="C719" s="63" t="s">
        <v>1604</v>
      </c>
      <c r="D719" s="64">
        <v>123457505</v>
      </c>
      <c r="E719" s="65" t="s">
        <v>766</v>
      </c>
      <c r="F719" s="53" t="s">
        <v>868</v>
      </c>
      <c r="G719" s="66">
        <v>227</v>
      </c>
      <c r="H719" s="67">
        <v>27</v>
      </c>
      <c r="I719" s="67">
        <v>6129</v>
      </c>
      <c r="J719" s="68">
        <v>123456789</v>
      </c>
      <c r="K719" s="69" t="s">
        <v>889</v>
      </c>
    </row>
    <row r="720" spans="2:11" ht="20.100000000000001" customHeight="1" x14ac:dyDescent="0.3">
      <c r="B720" s="62">
        <v>45647</v>
      </c>
      <c r="C720" s="63" t="s">
        <v>1605</v>
      </c>
      <c r="D720" s="64">
        <v>123457506</v>
      </c>
      <c r="E720" s="70" t="s">
        <v>767</v>
      </c>
      <c r="F720" s="111" t="s">
        <v>868</v>
      </c>
      <c r="G720" s="66">
        <v>266</v>
      </c>
      <c r="H720" s="67">
        <v>26</v>
      </c>
      <c r="I720" s="67">
        <v>6916</v>
      </c>
      <c r="J720" s="68">
        <v>123456789</v>
      </c>
      <c r="K720" s="69" t="s">
        <v>887</v>
      </c>
    </row>
    <row r="721" spans="2:11" ht="20.100000000000001" customHeight="1" x14ac:dyDescent="0.3">
      <c r="B721" s="62">
        <v>45648</v>
      </c>
      <c r="C721" s="63" t="s">
        <v>1606</v>
      </c>
      <c r="D721" s="64">
        <v>123457507</v>
      </c>
      <c r="E721" s="65" t="s">
        <v>768</v>
      </c>
      <c r="F721" s="53" t="s">
        <v>869</v>
      </c>
      <c r="G721" s="66">
        <v>296</v>
      </c>
      <c r="H721" s="67">
        <v>24</v>
      </c>
      <c r="I721" s="67">
        <v>7104</v>
      </c>
      <c r="J721" s="68">
        <v>123456789</v>
      </c>
      <c r="K721" s="69" t="s">
        <v>887</v>
      </c>
    </row>
    <row r="722" spans="2:11" ht="20.100000000000001" customHeight="1" x14ac:dyDescent="0.3">
      <c r="B722" s="62">
        <v>45649</v>
      </c>
      <c r="C722" s="63" t="s">
        <v>1607</v>
      </c>
      <c r="D722" s="64">
        <v>123457508</v>
      </c>
      <c r="E722" s="70" t="s">
        <v>769</v>
      </c>
      <c r="F722" s="111" t="s">
        <v>869</v>
      </c>
      <c r="G722" s="66">
        <v>222</v>
      </c>
      <c r="H722" s="67">
        <v>24</v>
      </c>
      <c r="I722" s="67">
        <v>5328</v>
      </c>
      <c r="J722" s="68">
        <v>123456789</v>
      </c>
      <c r="K722" s="69" t="s">
        <v>889</v>
      </c>
    </row>
    <row r="723" spans="2:11" ht="20.100000000000001" customHeight="1" x14ac:dyDescent="0.3">
      <c r="B723" s="62">
        <v>45650</v>
      </c>
      <c r="C723" s="63" t="s">
        <v>1608</v>
      </c>
      <c r="D723" s="64">
        <v>123457509</v>
      </c>
      <c r="E723" s="65" t="s">
        <v>770</v>
      </c>
      <c r="F723" s="53" t="s">
        <v>868</v>
      </c>
      <c r="G723" s="66">
        <v>234</v>
      </c>
      <c r="H723" s="67">
        <v>28</v>
      </c>
      <c r="I723" s="67">
        <v>6552</v>
      </c>
      <c r="J723" s="68">
        <v>123456789</v>
      </c>
      <c r="K723" s="69" t="s">
        <v>887</v>
      </c>
    </row>
    <row r="724" spans="2:11" ht="20.100000000000001" customHeight="1" x14ac:dyDescent="0.3">
      <c r="B724" s="62">
        <v>45651</v>
      </c>
      <c r="C724" s="63" t="s">
        <v>1609</v>
      </c>
      <c r="D724" s="64">
        <v>123457510</v>
      </c>
      <c r="E724" s="70" t="s">
        <v>771</v>
      </c>
      <c r="F724" s="111" t="s">
        <v>869</v>
      </c>
      <c r="G724" s="66">
        <v>261</v>
      </c>
      <c r="H724" s="67">
        <v>23</v>
      </c>
      <c r="I724" s="67">
        <v>6003</v>
      </c>
      <c r="J724" s="68">
        <v>123456789</v>
      </c>
      <c r="K724" s="69" t="s">
        <v>889</v>
      </c>
    </row>
    <row r="725" spans="2:11" ht="20.100000000000001" customHeight="1" x14ac:dyDescent="0.3">
      <c r="B725" s="62">
        <v>45652</v>
      </c>
      <c r="C725" s="63" t="s">
        <v>1610</v>
      </c>
      <c r="D725" s="64">
        <v>123457511</v>
      </c>
      <c r="E725" s="65" t="s">
        <v>772</v>
      </c>
      <c r="F725" s="53" t="s">
        <v>868</v>
      </c>
      <c r="G725" s="66">
        <v>290</v>
      </c>
      <c r="H725" s="67">
        <v>28</v>
      </c>
      <c r="I725" s="67">
        <v>8120</v>
      </c>
      <c r="J725" s="68">
        <v>123456789</v>
      </c>
      <c r="K725" s="69" t="s">
        <v>889</v>
      </c>
    </row>
    <row r="726" spans="2:11" ht="20.100000000000001" customHeight="1" x14ac:dyDescent="0.3">
      <c r="B726" s="62">
        <v>45653</v>
      </c>
      <c r="C726" s="63" t="s">
        <v>1611</v>
      </c>
      <c r="D726" s="64">
        <v>123457512</v>
      </c>
      <c r="E726" s="70" t="s">
        <v>773</v>
      </c>
      <c r="F726" s="111" t="s">
        <v>868</v>
      </c>
      <c r="G726" s="66">
        <v>202</v>
      </c>
      <c r="H726" s="67">
        <v>31</v>
      </c>
      <c r="I726" s="67">
        <v>6262</v>
      </c>
      <c r="J726" s="68">
        <v>123456789</v>
      </c>
      <c r="K726" s="69" t="s">
        <v>887</v>
      </c>
    </row>
    <row r="727" spans="2:11" ht="20.100000000000001" customHeight="1" x14ac:dyDescent="0.3">
      <c r="B727" s="62">
        <v>45654</v>
      </c>
      <c r="C727" s="63" t="s">
        <v>1612</v>
      </c>
      <c r="D727" s="64">
        <v>123457513</v>
      </c>
      <c r="E727" s="65" t="s">
        <v>774</v>
      </c>
      <c r="F727" s="53" t="s">
        <v>868</v>
      </c>
      <c r="G727" s="66">
        <v>272</v>
      </c>
      <c r="H727" s="67">
        <v>25</v>
      </c>
      <c r="I727" s="67">
        <v>6800</v>
      </c>
      <c r="J727" s="68">
        <v>123456789</v>
      </c>
      <c r="K727" s="69" t="s">
        <v>889</v>
      </c>
    </row>
    <row r="728" spans="2:11" ht="20.100000000000001" customHeight="1" x14ac:dyDescent="0.3">
      <c r="B728" s="62">
        <v>45655</v>
      </c>
      <c r="C728" s="63" t="s">
        <v>1613</v>
      </c>
      <c r="D728" s="64">
        <v>123457514</v>
      </c>
      <c r="E728" s="70" t="s">
        <v>775</v>
      </c>
      <c r="F728" s="111" t="s">
        <v>868</v>
      </c>
      <c r="G728" s="66">
        <v>244</v>
      </c>
      <c r="H728" s="67">
        <v>25</v>
      </c>
      <c r="I728" s="67">
        <v>6100</v>
      </c>
      <c r="J728" s="68">
        <v>123456789</v>
      </c>
      <c r="K728" s="69" t="s">
        <v>889</v>
      </c>
    </row>
    <row r="729" spans="2:11" ht="20.100000000000001" customHeight="1" x14ac:dyDescent="0.3">
      <c r="B729" s="62">
        <v>45656</v>
      </c>
      <c r="C729" s="63" t="s">
        <v>1614</v>
      </c>
      <c r="D729" s="64">
        <v>123457515</v>
      </c>
      <c r="E729" s="65" t="s">
        <v>776</v>
      </c>
      <c r="F729" s="53" t="s">
        <v>869</v>
      </c>
      <c r="G729" s="66">
        <v>275</v>
      </c>
      <c r="H729" s="67">
        <v>24</v>
      </c>
      <c r="I729" s="67">
        <v>6600</v>
      </c>
      <c r="J729" s="68">
        <v>123456789</v>
      </c>
      <c r="K729" s="69" t="s">
        <v>887</v>
      </c>
    </row>
    <row r="730" spans="2:11" ht="20.100000000000001" customHeight="1" x14ac:dyDescent="0.3">
      <c r="B730" s="62">
        <v>45657</v>
      </c>
      <c r="C730" s="63" t="s">
        <v>1615</v>
      </c>
      <c r="D730" s="64">
        <v>123457516</v>
      </c>
      <c r="E730" s="70" t="s">
        <v>777</v>
      </c>
      <c r="F730" s="111" t="s">
        <v>869</v>
      </c>
      <c r="G730" s="66">
        <v>226</v>
      </c>
      <c r="H730" s="67">
        <v>31</v>
      </c>
      <c r="I730" s="67">
        <v>7006</v>
      </c>
      <c r="J730" s="68">
        <v>123456789</v>
      </c>
      <c r="K730" s="69" t="s">
        <v>887</v>
      </c>
    </row>
    <row r="731" spans="2:11" ht="20.100000000000001" customHeight="1" x14ac:dyDescent="0.3">
      <c r="B731" s="62">
        <v>45658</v>
      </c>
      <c r="C731" s="63" t="s">
        <v>1616</v>
      </c>
      <c r="D731" s="64">
        <v>123457517</v>
      </c>
      <c r="E731" s="65" t="s">
        <v>778</v>
      </c>
      <c r="F731" s="53" t="s">
        <v>868</v>
      </c>
      <c r="G731" s="66">
        <v>952</v>
      </c>
      <c r="H731" s="67">
        <v>29</v>
      </c>
      <c r="I731" s="67">
        <v>27608</v>
      </c>
      <c r="J731" s="68">
        <v>123456789</v>
      </c>
      <c r="K731" s="69" t="s">
        <v>887</v>
      </c>
    </row>
    <row r="732" spans="2:11" ht="20.100000000000001" customHeight="1" x14ac:dyDescent="0.3">
      <c r="B732" s="62">
        <v>45659</v>
      </c>
      <c r="C732" s="63" t="s">
        <v>1617</v>
      </c>
      <c r="D732" s="64">
        <v>123457518</v>
      </c>
      <c r="E732" s="70" t="s">
        <v>779</v>
      </c>
      <c r="F732" s="111" t="s">
        <v>868</v>
      </c>
      <c r="G732" s="66">
        <v>773</v>
      </c>
      <c r="H732" s="67">
        <v>28</v>
      </c>
      <c r="I732" s="67">
        <v>21644</v>
      </c>
      <c r="J732" s="68">
        <v>123456789</v>
      </c>
      <c r="K732" s="69" t="s">
        <v>887</v>
      </c>
    </row>
    <row r="733" spans="2:11" ht="20.100000000000001" customHeight="1" x14ac:dyDescent="0.3">
      <c r="B733" s="62">
        <v>45660</v>
      </c>
      <c r="C733" s="63" t="s">
        <v>1618</v>
      </c>
      <c r="D733" s="64">
        <v>123457519</v>
      </c>
      <c r="E733" s="65" t="s">
        <v>780</v>
      </c>
      <c r="F733" s="53" t="s">
        <v>868</v>
      </c>
      <c r="G733" s="66">
        <v>815</v>
      </c>
      <c r="H733" s="67">
        <v>22</v>
      </c>
      <c r="I733" s="67">
        <v>17930</v>
      </c>
      <c r="J733" s="68">
        <v>123456789</v>
      </c>
      <c r="K733" s="69" t="s">
        <v>889</v>
      </c>
    </row>
    <row r="734" spans="2:11" ht="20.100000000000001" customHeight="1" x14ac:dyDescent="0.3">
      <c r="B734" s="62">
        <v>45661</v>
      </c>
      <c r="C734" s="63" t="s">
        <v>1619</v>
      </c>
      <c r="D734" s="64">
        <v>123457520</v>
      </c>
      <c r="E734" s="70" t="s">
        <v>781</v>
      </c>
      <c r="F734" s="111" t="s">
        <v>868</v>
      </c>
      <c r="G734" s="66">
        <v>898</v>
      </c>
      <c r="H734" s="67">
        <v>28</v>
      </c>
      <c r="I734" s="67">
        <v>25144</v>
      </c>
      <c r="J734" s="68">
        <v>123456789</v>
      </c>
      <c r="K734" s="69" t="s">
        <v>887</v>
      </c>
    </row>
    <row r="735" spans="2:11" ht="20.100000000000001" customHeight="1" x14ac:dyDescent="0.3">
      <c r="B735" s="62">
        <v>45662</v>
      </c>
      <c r="C735" s="63" t="s">
        <v>1620</v>
      </c>
      <c r="D735" s="64">
        <v>123457521</v>
      </c>
      <c r="E735" s="65" t="s">
        <v>782</v>
      </c>
      <c r="F735" s="53" t="s">
        <v>868</v>
      </c>
      <c r="G735" s="66">
        <v>567</v>
      </c>
      <c r="H735" s="67">
        <v>25</v>
      </c>
      <c r="I735" s="67">
        <v>14175</v>
      </c>
      <c r="J735" s="68">
        <v>123456789</v>
      </c>
      <c r="K735" s="69" t="s">
        <v>887</v>
      </c>
    </row>
    <row r="736" spans="2:11" ht="20.100000000000001" customHeight="1" x14ac:dyDescent="0.3">
      <c r="B736" s="62">
        <v>45663</v>
      </c>
      <c r="C736" s="63" t="s">
        <v>1621</v>
      </c>
      <c r="D736" s="64">
        <v>123457522</v>
      </c>
      <c r="E736" s="70" t="s">
        <v>783</v>
      </c>
      <c r="F736" s="111" t="s">
        <v>868</v>
      </c>
      <c r="G736" s="66">
        <v>569</v>
      </c>
      <c r="H736" s="67">
        <v>27</v>
      </c>
      <c r="I736" s="67">
        <v>15363</v>
      </c>
      <c r="J736" s="68">
        <v>123456789</v>
      </c>
      <c r="K736" s="69" t="s">
        <v>887</v>
      </c>
    </row>
    <row r="737" spans="2:11" ht="20.100000000000001" customHeight="1" x14ac:dyDescent="0.3">
      <c r="B737" s="62">
        <v>45664</v>
      </c>
      <c r="C737" s="63" t="s">
        <v>1622</v>
      </c>
      <c r="D737" s="64">
        <v>123457523</v>
      </c>
      <c r="E737" s="65" t="s">
        <v>784</v>
      </c>
      <c r="F737" s="53" t="s">
        <v>868</v>
      </c>
      <c r="G737" s="66">
        <v>594</v>
      </c>
      <c r="H737" s="67">
        <v>26</v>
      </c>
      <c r="I737" s="67">
        <v>15444</v>
      </c>
      <c r="J737" s="68">
        <v>123456789</v>
      </c>
      <c r="K737" s="69" t="s">
        <v>887</v>
      </c>
    </row>
    <row r="738" spans="2:11" ht="20.100000000000001" customHeight="1" x14ac:dyDescent="0.3">
      <c r="B738" s="62">
        <v>45665</v>
      </c>
      <c r="C738" s="63" t="s">
        <v>1623</v>
      </c>
      <c r="D738" s="64">
        <v>123457524</v>
      </c>
      <c r="E738" s="70" t="s">
        <v>785</v>
      </c>
      <c r="F738" s="111" t="s">
        <v>868</v>
      </c>
      <c r="G738" s="66">
        <v>703</v>
      </c>
      <c r="H738" s="67">
        <v>22</v>
      </c>
      <c r="I738" s="67">
        <v>15466</v>
      </c>
      <c r="J738" s="68">
        <v>123456789</v>
      </c>
      <c r="K738" s="69" t="s">
        <v>887</v>
      </c>
    </row>
    <row r="739" spans="2:11" ht="20.100000000000001" customHeight="1" x14ac:dyDescent="0.3">
      <c r="B739" s="62">
        <v>45666</v>
      </c>
      <c r="C739" s="63" t="s">
        <v>1624</v>
      </c>
      <c r="D739" s="64">
        <v>123457525</v>
      </c>
      <c r="E739" s="65" t="s">
        <v>786</v>
      </c>
      <c r="F739" s="53" t="s">
        <v>868</v>
      </c>
      <c r="G739" s="66">
        <v>929</v>
      </c>
      <c r="H739" s="67">
        <v>31</v>
      </c>
      <c r="I739" s="67">
        <v>28799</v>
      </c>
      <c r="J739" s="68">
        <v>123456789</v>
      </c>
      <c r="K739" s="69" t="s">
        <v>889</v>
      </c>
    </row>
    <row r="740" spans="2:11" ht="20.100000000000001" customHeight="1" x14ac:dyDescent="0.3">
      <c r="B740" s="62">
        <v>45667</v>
      </c>
      <c r="C740" s="63" t="s">
        <v>1625</v>
      </c>
      <c r="D740" s="64">
        <v>123457526</v>
      </c>
      <c r="E740" s="70" t="s">
        <v>787</v>
      </c>
      <c r="F740" s="111" t="s">
        <v>868</v>
      </c>
      <c r="G740" s="66">
        <v>595</v>
      </c>
      <c r="H740" s="67">
        <v>30</v>
      </c>
      <c r="I740" s="67">
        <v>17850</v>
      </c>
      <c r="J740" s="68">
        <v>123456789</v>
      </c>
      <c r="K740" s="69" t="s">
        <v>887</v>
      </c>
    </row>
    <row r="741" spans="2:11" ht="20.100000000000001" customHeight="1" x14ac:dyDescent="0.3">
      <c r="B741" s="62">
        <v>45668</v>
      </c>
      <c r="C741" s="63" t="s">
        <v>1626</v>
      </c>
      <c r="D741" s="64">
        <v>123457527</v>
      </c>
      <c r="E741" s="65" t="s">
        <v>788</v>
      </c>
      <c r="F741" s="53" t="s">
        <v>868</v>
      </c>
      <c r="G741" s="66">
        <v>919</v>
      </c>
      <c r="H741" s="67">
        <v>28</v>
      </c>
      <c r="I741" s="67">
        <v>25732</v>
      </c>
      <c r="J741" s="68">
        <v>123456789</v>
      </c>
      <c r="K741" s="69" t="s">
        <v>887</v>
      </c>
    </row>
    <row r="742" spans="2:11" ht="20.100000000000001" customHeight="1" x14ac:dyDescent="0.3">
      <c r="B742" s="62">
        <v>45669</v>
      </c>
      <c r="C742" s="63" t="s">
        <v>1627</v>
      </c>
      <c r="D742" s="64">
        <v>123457528</v>
      </c>
      <c r="E742" s="70" t="s">
        <v>789</v>
      </c>
      <c r="F742" s="111" t="s">
        <v>869</v>
      </c>
      <c r="G742" s="66">
        <v>959</v>
      </c>
      <c r="H742" s="67">
        <v>28</v>
      </c>
      <c r="I742" s="67">
        <v>26852</v>
      </c>
      <c r="J742" s="68">
        <v>123456789</v>
      </c>
      <c r="K742" s="69" t="s">
        <v>887</v>
      </c>
    </row>
    <row r="743" spans="2:11" ht="20.100000000000001" customHeight="1" x14ac:dyDescent="0.3">
      <c r="B743" s="62">
        <v>45670</v>
      </c>
      <c r="C743" s="63" t="s">
        <v>1628</v>
      </c>
      <c r="D743" s="64">
        <v>123457529</v>
      </c>
      <c r="E743" s="65" t="s">
        <v>790</v>
      </c>
      <c r="F743" s="53" t="s">
        <v>868</v>
      </c>
      <c r="G743" s="66">
        <v>755</v>
      </c>
      <c r="H743" s="67">
        <v>29</v>
      </c>
      <c r="I743" s="67">
        <v>21895</v>
      </c>
      <c r="J743" s="68">
        <v>123456789</v>
      </c>
      <c r="K743" s="69" t="s">
        <v>887</v>
      </c>
    </row>
    <row r="744" spans="2:11" ht="20.100000000000001" customHeight="1" x14ac:dyDescent="0.3">
      <c r="B744" s="62">
        <v>45671</v>
      </c>
      <c r="C744" s="63" t="s">
        <v>1629</v>
      </c>
      <c r="D744" s="64">
        <v>123457530</v>
      </c>
      <c r="E744" s="70" t="s">
        <v>791</v>
      </c>
      <c r="F744" s="111" t="s">
        <v>869</v>
      </c>
      <c r="G744" s="66">
        <v>508</v>
      </c>
      <c r="H744" s="67">
        <v>27</v>
      </c>
      <c r="I744" s="67">
        <v>13716</v>
      </c>
      <c r="J744" s="68">
        <v>123456789</v>
      </c>
      <c r="K744" s="69" t="s">
        <v>887</v>
      </c>
    </row>
    <row r="745" spans="2:11" ht="20.100000000000001" customHeight="1" x14ac:dyDescent="0.3">
      <c r="B745" s="62">
        <v>45672</v>
      </c>
      <c r="C745" s="63" t="s">
        <v>1630</v>
      </c>
      <c r="D745" s="64">
        <v>123457531</v>
      </c>
      <c r="E745" s="65" t="s">
        <v>792</v>
      </c>
      <c r="F745" s="53" t="s">
        <v>868</v>
      </c>
      <c r="G745" s="66">
        <v>993</v>
      </c>
      <c r="H745" s="67">
        <v>27</v>
      </c>
      <c r="I745" s="67">
        <v>26811</v>
      </c>
      <c r="J745" s="68">
        <v>123456789</v>
      </c>
      <c r="K745" s="69" t="s">
        <v>887</v>
      </c>
    </row>
    <row r="746" spans="2:11" ht="20.100000000000001" customHeight="1" x14ac:dyDescent="0.3">
      <c r="B746" s="62">
        <v>45673</v>
      </c>
      <c r="C746" s="63" t="s">
        <v>1631</v>
      </c>
      <c r="D746" s="64">
        <v>123457532</v>
      </c>
      <c r="E746" s="70" t="s">
        <v>793</v>
      </c>
      <c r="F746" s="111" t="s">
        <v>868</v>
      </c>
      <c r="G746" s="66">
        <v>642</v>
      </c>
      <c r="H746" s="67">
        <v>22</v>
      </c>
      <c r="I746" s="67">
        <v>14124</v>
      </c>
      <c r="J746" s="68">
        <v>123456789</v>
      </c>
      <c r="K746" s="69" t="s">
        <v>887</v>
      </c>
    </row>
    <row r="747" spans="2:11" ht="20.100000000000001" customHeight="1" x14ac:dyDescent="0.3">
      <c r="B747" s="62">
        <v>45674</v>
      </c>
      <c r="C747" s="63" t="s">
        <v>1632</v>
      </c>
      <c r="D747" s="64">
        <v>123457533</v>
      </c>
      <c r="E747" s="65" t="s">
        <v>794</v>
      </c>
      <c r="F747" s="53" t="s">
        <v>868</v>
      </c>
      <c r="G747" s="66">
        <v>790</v>
      </c>
      <c r="H747" s="67">
        <v>21</v>
      </c>
      <c r="I747" s="67">
        <v>16590</v>
      </c>
      <c r="J747" s="68">
        <v>123456789</v>
      </c>
      <c r="K747" s="69" t="s">
        <v>889</v>
      </c>
    </row>
    <row r="748" spans="2:11" ht="20.100000000000001" customHeight="1" x14ac:dyDescent="0.3">
      <c r="B748" s="62">
        <v>45675</v>
      </c>
      <c r="C748" s="63" t="s">
        <v>1633</v>
      </c>
      <c r="D748" s="64">
        <v>123457534</v>
      </c>
      <c r="E748" s="70" t="s">
        <v>795</v>
      </c>
      <c r="F748" s="111" t="s">
        <v>868</v>
      </c>
      <c r="G748" s="66">
        <v>627</v>
      </c>
      <c r="H748" s="67">
        <v>29</v>
      </c>
      <c r="I748" s="67">
        <v>18183</v>
      </c>
      <c r="J748" s="68">
        <v>123456789</v>
      </c>
      <c r="K748" s="69" t="s">
        <v>887</v>
      </c>
    </row>
    <row r="749" spans="2:11" ht="20.100000000000001" customHeight="1" x14ac:dyDescent="0.3">
      <c r="B749" s="62">
        <v>45676</v>
      </c>
      <c r="C749" s="63" t="s">
        <v>1634</v>
      </c>
      <c r="D749" s="64">
        <v>123457535</v>
      </c>
      <c r="E749" s="65" t="s">
        <v>796</v>
      </c>
      <c r="F749" s="53" t="s">
        <v>868</v>
      </c>
      <c r="G749" s="66">
        <v>637</v>
      </c>
      <c r="H749" s="67">
        <v>24</v>
      </c>
      <c r="I749" s="67">
        <v>15288</v>
      </c>
      <c r="J749" s="68">
        <v>123456789</v>
      </c>
      <c r="K749" s="69" t="s">
        <v>887</v>
      </c>
    </row>
    <row r="750" spans="2:11" ht="20.100000000000001" customHeight="1" x14ac:dyDescent="0.3">
      <c r="B750" s="62">
        <v>45677</v>
      </c>
      <c r="C750" s="63" t="s">
        <v>1635</v>
      </c>
      <c r="D750" s="64">
        <v>123457536</v>
      </c>
      <c r="E750" s="70" t="s">
        <v>797</v>
      </c>
      <c r="F750" s="111" t="s">
        <v>868</v>
      </c>
      <c r="G750" s="66">
        <v>941</v>
      </c>
      <c r="H750" s="67">
        <v>21</v>
      </c>
      <c r="I750" s="67">
        <v>19761</v>
      </c>
      <c r="J750" s="68">
        <v>123456789</v>
      </c>
      <c r="K750" s="69" t="s">
        <v>887</v>
      </c>
    </row>
    <row r="751" spans="2:11" ht="20.100000000000001" customHeight="1" x14ac:dyDescent="0.3">
      <c r="B751" s="62">
        <v>45678</v>
      </c>
      <c r="C751" s="63" t="s">
        <v>1636</v>
      </c>
      <c r="D751" s="64">
        <v>123457537</v>
      </c>
      <c r="E751" s="65" t="s">
        <v>798</v>
      </c>
      <c r="F751" s="53" t="s">
        <v>869</v>
      </c>
      <c r="G751" s="66">
        <v>572</v>
      </c>
      <c r="H751" s="67">
        <v>24</v>
      </c>
      <c r="I751" s="67">
        <v>13728</v>
      </c>
      <c r="J751" s="68">
        <v>123456789</v>
      </c>
      <c r="K751" s="69" t="s">
        <v>889</v>
      </c>
    </row>
    <row r="752" spans="2:11" ht="20.100000000000001" customHeight="1" x14ac:dyDescent="0.3">
      <c r="B752" s="62">
        <v>45679</v>
      </c>
      <c r="C752" s="63" t="s">
        <v>1637</v>
      </c>
      <c r="D752" s="64">
        <v>123457538</v>
      </c>
      <c r="E752" s="70" t="s">
        <v>799</v>
      </c>
      <c r="F752" s="111" t="s">
        <v>869</v>
      </c>
      <c r="G752" s="66">
        <v>564</v>
      </c>
      <c r="H752" s="67">
        <v>23</v>
      </c>
      <c r="I752" s="67">
        <v>12972</v>
      </c>
      <c r="J752" s="68">
        <v>123456789</v>
      </c>
      <c r="K752" s="69" t="s">
        <v>889</v>
      </c>
    </row>
    <row r="753" spans="2:11" ht="20.100000000000001" customHeight="1" x14ac:dyDescent="0.3">
      <c r="B753" s="62">
        <v>45680</v>
      </c>
      <c r="C753" s="63" t="s">
        <v>1638</v>
      </c>
      <c r="D753" s="64">
        <v>123457539</v>
      </c>
      <c r="E753" s="65" t="s">
        <v>800</v>
      </c>
      <c r="F753" s="53" t="s">
        <v>868</v>
      </c>
      <c r="G753" s="66">
        <v>962</v>
      </c>
      <c r="H753" s="67">
        <v>29</v>
      </c>
      <c r="I753" s="67">
        <v>27898</v>
      </c>
      <c r="J753" s="68">
        <v>123456789</v>
      </c>
      <c r="K753" s="69" t="s">
        <v>887</v>
      </c>
    </row>
    <row r="754" spans="2:11" ht="20.100000000000001" customHeight="1" x14ac:dyDescent="0.3">
      <c r="B754" s="62">
        <v>45681</v>
      </c>
      <c r="C754" s="63" t="s">
        <v>1639</v>
      </c>
      <c r="D754" s="64">
        <v>123457540</v>
      </c>
      <c r="E754" s="70" t="s">
        <v>801</v>
      </c>
      <c r="F754" s="111" t="s">
        <v>868</v>
      </c>
      <c r="G754" s="66">
        <v>915</v>
      </c>
      <c r="H754" s="67">
        <v>26</v>
      </c>
      <c r="I754" s="67">
        <v>23790</v>
      </c>
      <c r="J754" s="68">
        <v>123456789</v>
      </c>
      <c r="K754" s="69" t="s">
        <v>887</v>
      </c>
    </row>
    <row r="755" spans="2:11" ht="20.100000000000001" customHeight="1" x14ac:dyDescent="0.3">
      <c r="B755" s="62">
        <v>45682</v>
      </c>
      <c r="C755" s="63" t="s">
        <v>1640</v>
      </c>
      <c r="D755" s="64">
        <v>123457541</v>
      </c>
      <c r="E755" s="65" t="s">
        <v>802</v>
      </c>
      <c r="F755" s="53" t="s">
        <v>868</v>
      </c>
      <c r="G755" s="66">
        <v>736</v>
      </c>
      <c r="H755" s="67">
        <v>25</v>
      </c>
      <c r="I755" s="67">
        <v>18400</v>
      </c>
      <c r="J755" s="68">
        <v>123456789</v>
      </c>
      <c r="K755" s="69" t="s">
        <v>887</v>
      </c>
    </row>
    <row r="756" spans="2:11" ht="20.100000000000001" customHeight="1" x14ac:dyDescent="0.3">
      <c r="B756" s="62">
        <v>45683</v>
      </c>
      <c r="C756" s="63" t="s">
        <v>1641</v>
      </c>
      <c r="D756" s="64">
        <v>123457542</v>
      </c>
      <c r="E756" s="70" t="s">
        <v>803</v>
      </c>
      <c r="F756" s="111" t="s">
        <v>868</v>
      </c>
      <c r="G756" s="66">
        <v>677</v>
      </c>
      <c r="H756" s="67">
        <v>24</v>
      </c>
      <c r="I756" s="67">
        <v>16248</v>
      </c>
      <c r="J756" s="68">
        <v>123456789</v>
      </c>
      <c r="K756" s="69" t="s">
        <v>887</v>
      </c>
    </row>
    <row r="757" spans="2:11" ht="20.100000000000001" customHeight="1" x14ac:dyDescent="0.3">
      <c r="B757" s="62">
        <v>45684</v>
      </c>
      <c r="C757" s="63" t="s">
        <v>1642</v>
      </c>
      <c r="D757" s="64">
        <v>123457543</v>
      </c>
      <c r="E757" s="65" t="s">
        <v>804</v>
      </c>
      <c r="F757" s="53" t="s">
        <v>868</v>
      </c>
      <c r="G757" s="66">
        <v>652</v>
      </c>
      <c r="H757" s="67">
        <v>27</v>
      </c>
      <c r="I757" s="67">
        <v>17604</v>
      </c>
      <c r="J757" s="68">
        <v>123456789</v>
      </c>
      <c r="K757" s="69" t="s">
        <v>887</v>
      </c>
    </row>
    <row r="758" spans="2:11" ht="20.100000000000001" customHeight="1" x14ac:dyDescent="0.3">
      <c r="B758" s="62">
        <v>45685</v>
      </c>
      <c r="C758" s="63" t="s">
        <v>1643</v>
      </c>
      <c r="D758" s="64">
        <v>123457544</v>
      </c>
      <c r="E758" s="70" t="s">
        <v>805</v>
      </c>
      <c r="F758" s="111" t="s">
        <v>869</v>
      </c>
      <c r="G758" s="66">
        <v>523</v>
      </c>
      <c r="H758" s="67">
        <v>28</v>
      </c>
      <c r="I758" s="67">
        <v>14644</v>
      </c>
      <c r="J758" s="68">
        <v>123456789</v>
      </c>
      <c r="K758" s="69" t="s">
        <v>887</v>
      </c>
    </row>
    <row r="759" spans="2:11" ht="20.100000000000001" customHeight="1" x14ac:dyDescent="0.3">
      <c r="B759" s="62">
        <v>45686</v>
      </c>
      <c r="C759" s="63" t="s">
        <v>1644</v>
      </c>
      <c r="D759" s="64">
        <v>123457545</v>
      </c>
      <c r="E759" s="65" t="s">
        <v>806</v>
      </c>
      <c r="F759" s="53" t="s">
        <v>868</v>
      </c>
      <c r="G759" s="66">
        <v>648</v>
      </c>
      <c r="H759" s="67">
        <v>30</v>
      </c>
      <c r="I759" s="67">
        <v>19440</v>
      </c>
      <c r="J759" s="68">
        <v>123456789</v>
      </c>
      <c r="K759" s="69" t="s">
        <v>889</v>
      </c>
    </row>
    <row r="760" spans="2:11" ht="20.100000000000001" customHeight="1" x14ac:dyDescent="0.3">
      <c r="B760" s="62">
        <v>45687</v>
      </c>
      <c r="C760" s="63" t="s">
        <v>1645</v>
      </c>
      <c r="D760" s="64">
        <v>123457546</v>
      </c>
      <c r="E760" s="70" t="s">
        <v>807</v>
      </c>
      <c r="F760" s="111" t="s">
        <v>868</v>
      </c>
      <c r="G760" s="66">
        <v>644</v>
      </c>
      <c r="H760" s="67">
        <v>26</v>
      </c>
      <c r="I760" s="67">
        <v>16744</v>
      </c>
      <c r="J760" s="68">
        <v>123456789</v>
      </c>
      <c r="K760" s="69" t="s">
        <v>887</v>
      </c>
    </row>
    <row r="761" spans="2:11" ht="20.100000000000001" customHeight="1" x14ac:dyDescent="0.3">
      <c r="B761" s="62">
        <v>45688</v>
      </c>
      <c r="C761" s="63" t="s">
        <v>1646</v>
      </c>
      <c r="D761" s="64">
        <v>123457547</v>
      </c>
      <c r="E761" s="65" t="s">
        <v>808</v>
      </c>
      <c r="F761" s="53" t="s">
        <v>868</v>
      </c>
      <c r="G761" s="66">
        <v>966</v>
      </c>
      <c r="H761" s="67">
        <v>24</v>
      </c>
      <c r="I761" s="67">
        <v>23184</v>
      </c>
      <c r="J761" s="68">
        <v>123456789</v>
      </c>
      <c r="K761" s="69" t="s">
        <v>887</v>
      </c>
    </row>
    <row r="762" spans="2:11" ht="20.100000000000001" customHeight="1" x14ac:dyDescent="0.3">
      <c r="B762" s="62">
        <v>45689</v>
      </c>
      <c r="C762" s="63" t="s">
        <v>1647</v>
      </c>
      <c r="D762" s="64">
        <v>123457548</v>
      </c>
      <c r="E762" s="70" t="s">
        <v>809</v>
      </c>
      <c r="F762" s="111" t="s">
        <v>868</v>
      </c>
      <c r="G762" s="66">
        <v>687</v>
      </c>
      <c r="H762" s="67">
        <v>27</v>
      </c>
      <c r="I762" s="67">
        <v>18549</v>
      </c>
      <c r="J762" s="68">
        <v>123456789</v>
      </c>
      <c r="K762" s="69" t="s">
        <v>887</v>
      </c>
    </row>
    <row r="763" spans="2:11" ht="20.100000000000001" customHeight="1" x14ac:dyDescent="0.3">
      <c r="B763" s="62">
        <v>45690</v>
      </c>
      <c r="C763" s="63" t="s">
        <v>1648</v>
      </c>
      <c r="D763" s="64">
        <v>123457549</v>
      </c>
      <c r="E763" s="65" t="s">
        <v>810</v>
      </c>
      <c r="F763" s="53" t="s">
        <v>869</v>
      </c>
      <c r="G763" s="66">
        <v>765</v>
      </c>
      <c r="H763" s="67">
        <v>22</v>
      </c>
      <c r="I763" s="67">
        <v>16830</v>
      </c>
      <c r="J763" s="68">
        <v>123456789</v>
      </c>
      <c r="K763" s="69" t="s">
        <v>887</v>
      </c>
    </row>
    <row r="764" spans="2:11" ht="20.100000000000001" customHeight="1" x14ac:dyDescent="0.3">
      <c r="B764" s="62">
        <v>45691</v>
      </c>
      <c r="C764" s="63" t="s">
        <v>1649</v>
      </c>
      <c r="D764" s="64">
        <v>123457550</v>
      </c>
      <c r="E764" s="70" t="s">
        <v>811</v>
      </c>
      <c r="F764" s="111" t="s">
        <v>868</v>
      </c>
      <c r="G764" s="66">
        <v>836</v>
      </c>
      <c r="H764" s="67">
        <v>30</v>
      </c>
      <c r="I764" s="67">
        <v>25080</v>
      </c>
      <c r="J764" s="68">
        <v>123456789</v>
      </c>
      <c r="K764" s="69" t="s">
        <v>887</v>
      </c>
    </row>
    <row r="765" spans="2:11" ht="20.100000000000001" customHeight="1" x14ac:dyDescent="0.3">
      <c r="B765" s="62">
        <v>45692</v>
      </c>
      <c r="C765" s="63" t="s">
        <v>1650</v>
      </c>
      <c r="D765" s="64">
        <v>123457551</v>
      </c>
      <c r="E765" s="65" t="s">
        <v>812</v>
      </c>
      <c r="F765" s="53" t="s">
        <v>869</v>
      </c>
      <c r="G765" s="66">
        <v>885</v>
      </c>
      <c r="H765" s="67">
        <v>28</v>
      </c>
      <c r="I765" s="67">
        <v>24780</v>
      </c>
      <c r="J765" s="68">
        <v>123456789</v>
      </c>
      <c r="K765" s="69" t="s">
        <v>889</v>
      </c>
    </row>
    <row r="766" spans="2:11" ht="20.100000000000001" customHeight="1" x14ac:dyDescent="0.3">
      <c r="B766" s="62">
        <v>45693</v>
      </c>
      <c r="C766" s="63" t="s">
        <v>1651</v>
      </c>
      <c r="D766" s="64">
        <v>123457552</v>
      </c>
      <c r="E766" s="70" t="s">
        <v>813</v>
      </c>
      <c r="F766" s="111" t="s">
        <v>869</v>
      </c>
      <c r="G766" s="66">
        <v>748</v>
      </c>
      <c r="H766" s="67">
        <v>29</v>
      </c>
      <c r="I766" s="67">
        <v>21692</v>
      </c>
      <c r="J766" s="68">
        <v>123456789</v>
      </c>
      <c r="K766" s="69" t="s">
        <v>887</v>
      </c>
    </row>
    <row r="767" spans="2:11" ht="20.100000000000001" customHeight="1" x14ac:dyDescent="0.3">
      <c r="B767" s="62">
        <v>45694</v>
      </c>
      <c r="C767" s="63" t="s">
        <v>1652</v>
      </c>
      <c r="D767" s="64">
        <v>123457553</v>
      </c>
      <c r="E767" s="65" t="s">
        <v>814</v>
      </c>
      <c r="F767" s="53" t="s">
        <v>868</v>
      </c>
      <c r="G767" s="66">
        <v>599</v>
      </c>
      <c r="H767" s="67">
        <v>22</v>
      </c>
      <c r="I767" s="67">
        <v>13178</v>
      </c>
      <c r="J767" s="68">
        <v>123456789</v>
      </c>
      <c r="K767" s="69" t="s">
        <v>887</v>
      </c>
    </row>
    <row r="768" spans="2:11" ht="20.100000000000001" customHeight="1" x14ac:dyDescent="0.3">
      <c r="B768" s="62">
        <v>45695</v>
      </c>
      <c r="C768" s="63" t="s">
        <v>1653</v>
      </c>
      <c r="D768" s="64">
        <v>123457554</v>
      </c>
      <c r="E768" s="70" t="s">
        <v>815</v>
      </c>
      <c r="F768" s="111" t="s">
        <v>868</v>
      </c>
      <c r="G768" s="66">
        <v>982</v>
      </c>
      <c r="H768" s="67">
        <v>26</v>
      </c>
      <c r="I768" s="67">
        <v>25532</v>
      </c>
      <c r="J768" s="68">
        <v>123456789</v>
      </c>
      <c r="K768" s="69" t="s">
        <v>887</v>
      </c>
    </row>
    <row r="769" spans="2:11" ht="20.100000000000001" customHeight="1" x14ac:dyDescent="0.3">
      <c r="B769" s="62">
        <v>45696</v>
      </c>
      <c r="C769" s="63" t="s">
        <v>1654</v>
      </c>
      <c r="D769" s="64">
        <v>123457555</v>
      </c>
      <c r="E769" s="65" t="s">
        <v>816</v>
      </c>
      <c r="F769" s="53" t="s">
        <v>869</v>
      </c>
      <c r="G769" s="66">
        <v>646</v>
      </c>
      <c r="H769" s="67">
        <v>28</v>
      </c>
      <c r="I769" s="67">
        <v>18088</v>
      </c>
      <c r="J769" s="68">
        <v>123456789</v>
      </c>
      <c r="K769" s="69" t="s">
        <v>889</v>
      </c>
    </row>
    <row r="770" spans="2:11" ht="20.100000000000001" customHeight="1" x14ac:dyDescent="0.3">
      <c r="B770" s="62">
        <v>45697</v>
      </c>
      <c r="C770" s="63" t="s">
        <v>1655</v>
      </c>
      <c r="D770" s="64">
        <v>123457556</v>
      </c>
      <c r="E770" s="70" t="s">
        <v>817</v>
      </c>
      <c r="F770" s="111" t="s">
        <v>868</v>
      </c>
      <c r="G770" s="66">
        <v>614</v>
      </c>
      <c r="H770" s="67">
        <v>22</v>
      </c>
      <c r="I770" s="67">
        <v>13508</v>
      </c>
      <c r="J770" s="68">
        <v>123456789</v>
      </c>
      <c r="K770" s="69" t="s">
        <v>887</v>
      </c>
    </row>
    <row r="771" spans="2:11" ht="20.100000000000001" customHeight="1" x14ac:dyDescent="0.3">
      <c r="B771" s="62">
        <v>45698</v>
      </c>
      <c r="C771" s="63" t="s">
        <v>1656</v>
      </c>
      <c r="D771" s="64">
        <v>123457557</v>
      </c>
      <c r="E771" s="65" t="s">
        <v>818</v>
      </c>
      <c r="F771" s="53" t="s">
        <v>869</v>
      </c>
      <c r="G771" s="66">
        <v>913</v>
      </c>
      <c r="H771" s="67">
        <v>31</v>
      </c>
      <c r="I771" s="67">
        <v>28303</v>
      </c>
      <c r="J771" s="68">
        <v>123456789</v>
      </c>
      <c r="K771" s="69" t="s">
        <v>887</v>
      </c>
    </row>
    <row r="772" spans="2:11" ht="20.100000000000001" customHeight="1" x14ac:dyDescent="0.3">
      <c r="B772" s="62">
        <v>45699</v>
      </c>
      <c r="C772" s="63" t="s">
        <v>1657</v>
      </c>
      <c r="D772" s="64">
        <v>123457558</v>
      </c>
      <c r="E772" s="70" t="s">
        <v>819</v>
      </c>
      <c r="F772" s="111" t="s">
        <v>868</v>
      </c>
      <c r="G772" s="66">
        <v>615</v>
      </c>
      <c r="H772" s="67">
        <v>29</v>
      </c>
      <c r="I772" s="67">
        <v>17835</v>
      </c>
      <c r="J772" s="68">
        <v>123456789</v>
      </c>
      <c r="K772" s="69" t="s">
        <v>887</v>
      </c>
    </row>
    <row r="773" spans="2:11" ht="20.100000000000001" customHeight="1" x14ac:dyDescent="0.3">
      <c r="B773" s="62">
        <v>45700</v>
      </c>
      <c r="C773" s="63" t="s">
        <v>1658</v>
      </c>
      <c r="D773" s="64">
        <v>123457559</v>
      </c>
      <c r="E773" s="65" t="s">
        <v>820</v>
      </c>
      <c r="F773" s="53" t="s">
        <v>868</v>
      </c>
      <c r="G773" s="66">
        <v>786</v>
      </c>
      <c r="H773" s="67">
        <v>31</v>
      </c>
      <c r="I773" s="67">
        <v>24366</v>
      </c>
      <c r="J773" s="68">
        <v>123456789</v>
      </c>
      <c r="K773" s="69" t="s">
        <v>889</v>
      </c>
    </row>
    <row r="774" spans="2:11" ht="20.100000000000001" customHeight="1" x14ac:dyDescent="0.3">
      <c r="B774" s="62">
        <v>45701</v>
      </c>
      <c r="C774" s="63" t="s">
        <v>1659</v>
      </c>
      <c r="D774" s="64">
        <v>123457560</v>
      </c>
      <c r="E774" s="70" t="s">
        <v>821</v>
      </c>
      <c r="F774" s="111" t="s">
        <v>868</v>
      </c>
      <c r="G774" s="66">
        <v>576</v>
      </c>
      <c r="H774" s="67">
        <v>24</v>
      </c>
      <c r="I774" s="67">
        <v>13824</v>
      </c>
      <c r="J774" s="68">
        <v>123456789</v>
      </c>
      <c r="K774" s="69" t="s">
        <v>887</v>
      </c>
    </row>
    <row r="775" spans="2:11" ht="20.100000000000001" customHeight="1" x14ac:dyDescent="0.3">
      <c r="B775" s="62">
        <v>45702</v>
      </c>
      <c r="C775" s="63" t="s">
        <v>1660</v>
      </c>
      <c r="D775" s="64">
        <v>123457561</v>
      </c>
      <c r="E775" s="65" t="s">
        <v>822</v>
      </c>
      <c r="F775" s="53" t="s">
        <v>868</v>
      </c>
      <c r="G775" s="66">
        <v>670</v>
      </c>
      <c r="H775" s="67">
        <v>26</v>
      </c>
      <c r="I775" s="67">
        <v>17420</v>
      </c>
      <c r="J775" s="68">
        <v>123456789</v>
      </c>
      <c r="K775" s="69" t="s">
        <v>889</v>
      </c>
    </row>
    <row r="776" spans="2:11" ht="20.100000000000001" customHeight="1" x14ac:dyDescent="0.3">
      <c r="B776" s="62">
        <v>45703</v>
      </c>
      <c r="C776" s="63" t="s">
        <v>1661</v>
      </c>
      <c r="D776" s="64">
        <v>123457562</v>
      </c>
      <c r="E776" s="70" t="s">
        <v>823</v>
      </c>
      <c r="F776" s="111" t="s">
        <v>869</v>
      </c>
      <c r="G776" s="66">
        <v>994</v>
      </c>
      <c r="H776" s="67">
        <v>30</v>
      </c>
      <c r="I776" s="67">
        <v>29820</v>
      </c>
      <c r="J776" s="68">
        <v>123456789</v>
      </c>
      <c r="K776" s="69" t="s">
        <v>887</v>
      </c>
    </row>
    <row r="777" spans="2:11" ht="20.100000000000001" customHeight="1" x14ac:dyDescent="0.3">
      <c r="B777" s="62">
        <v>45704</v>
      </c>
      <c r="C777" s="63" t="s">
        <v>1662</v>
      </c>
      <c r="D777" s="64">
        <v>123457563</v>
      </c>
      <c r="E777" s="65" t="s">
        <v>824</v>
      </c>
      <c r="F777" s="53" t="s">
        <v>868</v>
      </c>
      <c r="G777" s="66">
        <v>665</v>
      </c>
      <c r="H777" s="67">
        <v>24</v>
      </c>
      <c r="I777" s="67">
        <v>15960</v>
      </c>
      <c r="J777" s="68">
        <v>123456789</v>
      </c>
      <c r="K777" s="69" t="s">
        <v>889</v>
      </c>
    </row>
    <row r="778" spans="2:11" ht="20.100000000000001" customHeight="1" x14ac:dyDescent="0.3">
      <c r="B778" s="62">
        <v>45705</v>
      </c>
      <c r="C778" s="63" t="s">
        <v>1663</v>
      </c>
      <c r="D778" s="64">
        <v>123457564</v>
      </c>
      <c r="E778" s="70" t="s">
        <v>825</v>
      </c>
      <c r="F778" s="111" t="s">
        <v>868</v>
      </c>
      <c r="G778" s="66">
        <v>686</v>
      </c>
      <c r="H778" s="67">
        <v>30</v>
      </c>
      <c r="I778" s="67">
        <v>20580</v>
      </c>
      <c r="J778" s="68">
        <v>123456789</v>
      </c>
      <c r="K778" s="69" t="s">
        <v>889</v>
      </c>
    </row>
    <row r="779" spans="2:11" ht="20.100000000000001" customHeight="1" x14ac:dyDescent="0.3">
      <c r="B779" s="62">
        <v>45706</v>
      </c>
      <c r="C779" s="63" t="s">
        <v>1664</v>
      </c>
      <c r="D779" s="64">
        <v>123457565</v>
      </c>
      <c r="E779" s="65" t="s">
        <v>826</v>
      </c>
      <c r="F779" s="53" t="s">
        <v>868</v>
      </c>
      <c r="G779" s="66">
        <v>656</v>
      </c>
      <c r="H779" s="67">
        <v>25</v>
      </c>
      <c r="I779" s="67">
        <v>16400</v>
      </c>
      <c r="J779" s="68">
        <v>123456789</v>
      </c>
      <c r="K779" s="69" t="s">
        <v>887</v>
      </c>
    </row>
    <row r="780" spans="2:11" ht="20.100000000000001" customHeight="1" x14ac:dyDescent="0.3">
      <c r="B780" s="62">
        <v>45707</v>
      </c>
      <c r="C780" s="63" t="s">
        <v>1665</v>
      </c>
      <c r="D780" s="64">
        <v>123457566</v>
      </c>
      <c r="E780" s="70" t="s">
        <v>827</v>
      </c>
      <c r="F780" s="111" t="s">
        <v>868</v>
      </c>
      <c r="G780" s="66">
        <v>718</v>
      </c>
      <c r="H780" s="67">
        <v>22</v>
      </c>
      <c r="I780" s="67">
        <v>15796</v>
      </c>
      <c r="J780" s="68">
        <v>123456789</v>
      </c>
      <c r="K780" s="69" t="s">
        <v>887</v>
      </c>
    </row>
    <row r="781" spans="2:11" ht="20.100000000000001" customHeight="1" x14ac:dyDescent="0.3">
      <c r="B781" s="62">
        <v>45708</v>
      </c>
      <c r="C781" s="63" t="s">
        <v>1666</v>
      </c>
      <c r="D781" s="64">
        <v>123457567</v>
      </c>
      <c r="E781" s="65" t="s">
        <v>828</v>
      </c>
      <c r="F781" s="53" t="s">
        <v>869</v>
      </c>
      <c r="G781" s="66">
        <v>545</v>
      </c>
      <c r="H781" s="67">
        <v>23</v>
      </c>
      <c r="I781" s="67">
        <v>12535</v>
      </c>
      <c r="J781" s="68">
        <v>123456789</v>
      </c>
      <c r="K781" s="69" t="s">
        <v>887</v>
      </c>
    </row>
    <row r="782" spans="2:11" ht="20.100000000000001" customHeight="1" x14ac:dyDescent="0.3">
      <c r="B782" s="62">
        <v>45709</v>
      </c>
      <c r="C782" s="63" t="s">
        <v>1667</v>
      </c>
      <c r="D782" s="64">
        <v>123457568</v>
      </c>
      <c r="E782" s="70" t="s">
        <v>829</v>
      </c>
      <c r="F782" s="111" t="s">
        <v>868</v>
      </c>
      <c r="G782" s="66">
        <v>560</v>
      </c>
      <c r="H782" s="67">
        <v>27</v>
      </c>
      <c r="I782" s="67">
        <v>15120</v>
      </c>
      <c r="J782" s="68">
        <v>123456789</v>
      </c>
      <c r="K782" s="69" t="s">
        <v>887</v>
      </c>
    </row>
    <row r="783" spans="2:11" ht="20.100000000000001" customHeight="1" x14ac:dyDescent="0.3">
      <c r="B783" s="62">
        <v>45710</v>
      </c>
      <c r="C783" s="63" t="s">
        <v>1668</v>
      </c>
      <c r="D783" s="64">
        <v>123457569</v>
      </c>
      <c r="E783" s="65" t="s">
        <v>830</v>
      </c>
      <c r="F783" s="53" t="s">
        <v>868</v>
      </c>
      <c r="G783" s="66">
        <v>781</v>
      </c>
      <c r="H783" s="67">
        <v>23</v>
      </c>
      <c r="I783" s="67">
        <v>17963</v>
      </c>
      <c r="J783" s="68">
        <v>123456789</v>
      </c>
      <c r="K783" s="69" t="s">
        <v>889</v>
      </c>
    </row>
    <row r="784" spans="2:11" ht="20.100000000000001" customHeight="1" x14ac:dyDescent="0.3">
      <c r="B784" s="62">
        <v>45711</v>
      </c>
      <c r="C784" s="63" t="s">
        <v>1669</v>
      </c>
      <c r="D784" s="64">
        <v>123457570</v>
      </c>
      <c r="E784" s="70" t="s">
        <v>831</v>
      </c>
      <c r="F784" s="111" t="s">
        <v>869</v>
      </c>
      <c r="G784" s="66">
        <v>807</v>
      </c>
      <c r="H784" s="67">
        <v>27</v>
      </c>
      <c r="I784" s="67">
        <v>21789</v>
      </c>
      <c r="J784" s="68">
        <v>123456789</v>
      </c>
      <c r="K784" s="69" t="s">
        <v>887</v>
      </c>
    </row>
    <row r="785" spans="2:11" ht="20.100000000000001" customHeight="1" x14ac:dyDescent="0.3">
      <c r="B785" s="62">
        <v>45712</v>
      </c>
      <c r="C785" s="63" t="s">
        <v>1670</v>
      </c>
      <c r="D785" s="64">
        <v>123457571</v>
      </c>
      <c r="E785" s="65" t="s">
        <v>832</v>
      </c>
      <c r="F785" s="53" t="s">
        <v>868</v>
      </c>
      <c r="G785" s="66">
        <v>913</v>
      </c>
      <c r="H785" s="67">
        <v>26</v>
      </c>
      <c r="I785" s="67">
        <v>23738</v>
      </c>
      <c r="J785" s="68">
        <v>123456789</v>
      </c>
      <c r="K785" s="69" t="s">
        <v>887</v>
      </c>
    </row>
    <row r="786" spans="2:11" ht="20.100000000000001" customHeight="1" x14ac:dyDescent="0.3">
      <c r="B786" s="62">
        <v>45713</v>
      </c>
      <c r="C786" s="63" t="s">
        <v>1671</v>
      </c>
      <c r="D786" s="64">
        <v>123457572</v>
      </c>
      <c r="E786" s="70" t="s">
        <v>833</v>
      </c>
      <c r="F786" s="111" t="s">
        <v>868</v>
      </c>
      <c r="G786" s="66">
        <v>810</v>
      </c>
      <c r="H786" s="67">
        <v>29</v>
      </c>
      <c r="I786" s="67">
        <v>23490</v>
      </c>
      <c r="J786" s="68">
        <v>123456789</v>
      </c>
      <c r="K786" s="69" t="s">
        <v>887</v>
      </c>
    </row>
    <row r="787" spans="2:11" ht="20.100000000000001" customHeight="1" x14ac:dyDescent="0.3">
      <c r="B787" s="62">
        <v>45714</v>
      </c>
      <c r="C787" s="63" t="s">
        <v>1672</v>
      </c>
      <c r="D787" s="64">
        <v>123457573</v>
      </c>
      <c r="E787" s="65" t="s">
        <v>834</v>
      </c>
      <c r="F787" s="53" t="s">
        <v>869</v>
      </c>
      <c r="G787" s="66">
        <v>853</v>
      </c>
      <c r="H787" s="67">
        <v>31</v>
      </c>
      <c r="I787" s="67">
        <v>26443</v>
      </c>
      <c r="J787" s="68">
        <v>123456789</v>
      </c>
      <c r="K787" s="69" t="s">
        <v>887</v>
      </c>
    </row>
    <row r="788" spans="2:11" ht="20.100000000000001" customHeight="1" x14ac:dyDescent="0.3">
      <c r="B788" s="62">
        <v>45715</v>
      </c>
      <c r="C788" s="63" t="s">
        <v>1673</v>
      </c>
      <c r="D788" s="64">
        <v>123457574</v>
      </c>
      <c r="E788" s="70" t="s">
        <v>835</v>
      </c>
      <c r="F788" s="111" t="s">
        <v>868</v>
      </c>
      <c r="G788" s="66">
        <v>924</v>
      </c>
      <c r="H788" s="67">
        <v>25</v>
      </c>
      <c r="I788" s="67">
        <v>23100</v>
      </c>
      <c r="J788" s="68">
        <v>123456789</v>
      </c>
      <c r="K788" s="69" t="s">
        <v>887</v>
      </c>
    </row>
    <row r="789" spans="2:11" ht="20.100000000000001" customHeight="1" x14ac:dyDescent="0.3">
      <c r="B789" s="62">
        <v>45716</v>
      </c>
      <c r="C789" s="63" t="s">
        <v>1674</v>
      </c>
      <c r="D789" s="64">
        <v>123457575</v>
      </c>
      <c r="E789" s="65" t="s">
        <v>836</v>
      </c>
      <c r="F789" s="53" t="s">
        <v>868</v>
      </c>
      <c r="G789" s="66">
        <v>841</v>
      </c>
      <c r="H789" s="67">
        <v>27</v>
      </c>
      <c r="I789" s="67">
        <v>22707</v>
      </c>
      <c r="J789" s="68">
        <v>123456789</v>
      </c>
      <c r="K789" s="69" t="s">
        <v>887</v>
      </c>
    </row>
    <row r="790" spans="2:11" ht="20.100000000000001" customHeight="1" x14ac:dyDescent="0.3">
      <c r="B790" s="62">
        <v>45717</v>
      </c>
      <c r="C790" s="63" t="s">
        <v>1675</v>
      </c>
      <c r="D790" s="64">
        <v>123457576</v>
      </c>
      <c r="E790" s="70" t="s">
        <v>837</v>
      </c>
      <c r="F790" s="111" t="s">
        <v>868</v>
      </c>
      <c r="G790" s="66">
        <v>741</v>
      </c>
      <c r="H790" s="67">
        <v>23</v>
      </c>
      <c r="I790" s="67">
        <v>17043</v>
      </c>
      <c r="J790" s="68">
        <v>123456789</v>
      </c>
      <c r="K790" s="69" t="s">
        <v>887</v>
      </c>
    </row>
    <row r="791" spans="2:11" ht="20.100000000000001" customHeight="1" x14ac:dyDescent="0.3">
      <c r="B791" s="62">
        <v>45718</v>
      </c>
      <c r="C791" s="63" t="s">
        <v>1676</v>
      </c>
      <c r="D791" s="64">
        <v>123457577</v>
      </c>
      <c r="E791" s="65" t="s">
        <v>838</v>
      </c>
      <c r="F791" s="53" t="s">
        <v>869</v>
      </c>
      <c r="G791" s="66">
        <v>711</v>
      </c>
      <c r="H791" s="67">
        <v>21</v>
      </c>
      <c r="I791" s="67">
        <v>14931</v>
      </c>
      <c r="J791" s="68">
        <v>123456789</v>
      </c>
      <c r="K791" s="69" t="s">
        <v>887</v>
      </c>
    </row>
    <row r="792" spans="2:11" ht="20.100000000000001" customHeight="1" x14ac:dyDescent="0.3">
      <c r="B792" s="62">
        <v>45719</v>
      </c>
      <c r="C792" s="63" t="s">
        <v>1677</v>
      </c>
      <c r="D792" s="64">
        <v>123457578</v>
      </c>
      <c r="E792" s="70" t="s">
        <v>839</v>
      </c>
      <c r="F792" s="111" t="s">
        <v>868</v>
      </c>
      <c r="G792" s="66">
        <v>990</v>
      </c>
      <c r="H792" s="67">
        <v>29</v>
      </c>
      <c r="I792" s="67">
        <v>28710</v>
      </c>
      <c r="J792" s="68">
        <v>123456789</v>
      </c>
      <c r="K792" s="69" t="s">
        <v>887</v>
      </c>
    </row>
    <row r="793" spans="2:11" ht="20.100000000000001" customHeight="1" x14ac:dyDescent="0.3">
      <c r="B793" s="62">
        <v>45720</v>
      </c>
      <c r="C793" s="63" t="s">
        <v>1678</v>
      </c>
      <c r="D793" s="64">
        <v>123457579</v>
      </c>
      <c r="E793" s="65" t="s">
        <v>840</v>
      </c>
      <c r="F793" s="53" t="s">
        <v>869</v>
      </c>
      <c r="G793" s="66">
        <v>932</v>
      </c>
      <c r="H793" s="67">
        <v>27</v>
      </c>
      <c r="I793" s="67">
        <v>25164</v>
      </c>
      <c r="J793" s="68">
        <v>123456789</v>
      </c>
      <c r="K793" s="69" t="s">
        <v>887</v>
      </c>
    </row>
    <row r="794" spans="2:11" ht="20.100000000000001" customHeight="1" x14ac:dyDescent="0.3">
      <c r="B794" s="62">
        <v>45721</v>
      </c>
      <c r="C794" s="63" t="s">
        <v>1679</v>
      </c>
      <c r="D794" s="64">
        <v>123457580</v>
      </c>
      <c r="E794" s="70" t="s">
        <v>841</v>
      </c>
      <c r="F794" s="111" t="s">
        <v>869</v>
      </c>
      <c r="G794" s="66">
        <v>963</v>
      </c>
      <c r="H794" s="67">
        <v>22</v>
      </c>
      <c r="I794" s="67">
        <v>21186</v>
      </c>
      <c r="J794" s="68">
        <v>123456789</v>
      </c>
      <c r="K794" s="69" t="s">
        <v>887</v>
      </c>
    </row>
    <row r="795" spans="2:11" ht="20.100000000000001" customHeight="1" x14ac:dyDescent="0.3">
      <c r="B795" s="62">
        <v>45722</v>
      </c>
      <c r="C795" s="63" t="s">
        <v>1680</v>
      </c>
      <c r="D795" s="64">
        <v>123457581</v>
      </c>
      <c r="E795" s="65" t="s">
        <v>842</v>
      </c>
      <c r="F795" s="53" t="s">
        <v>868</v>
      </c>
      <c r="G795" s="66">
        <v>936</v>
      </c>
      <c r="H795" s="67">
        <v>25</v>
      </c>
      <c r="I795" s="67">
        <v>23400</v>
      </c>
      <c r="J795" s="68">
        <v>123456789</v>
      </c>
      <c r="K795" s="69" t="s">
        <v>887</v>
      </c>
    </row>
    <row r="796" spans="2:11" ht="20.100000000000001" customHeight="1" x14ac:dyDescent="0.3">
      <c r="B796" s="62">
        <v>45723</v>
      </c>
      <c r="C796" s="63" t="s">
        <v>1681</v>
      </c>
      <c r="D796" s="64">
        <v>123457582</v>
      </c>
      <c r="E796" s="70" t="s">
        <v>843</v>
      </c>
      <c r="F796" s="111" t="s">
        <v>868</v>
      </c>
      <c r="G796" s="66">
        <v>889</v>
      </c>
      <c r="H796" s="67">
        <v>23</v>
      </c>
      <c r="I796" s="67">
        <v>20447</v>
      </c>
      <c r="J796" s="68">
        <v>123456789</v>
      </c>
      <c r="K796" s="69" t="s">
        <v>889</v>
      </c>
    </row>
    <row r="797" spans="2:11" ht="20.100000000000001" customHeight="1" x14ac:dyDescent="0.3">
      <c r="B797" s="62">
        <v>45724</v>
      </c>
      <c r="C797" s="63" t="s">
        <v>1682</v>
      </c>
      <c r="D797" s="64">
        <v>123457583</v>
      </c>
      <c r="E797" s="65" t="s">
        <v>844</v>
      </c>
      <c r="F797" s="53" t="s">
        <v>868</v>
      </c>
      <c r="G797" s="66">
        <v>517</v>
      </c>
      <c r="H797" s="67">
        <v>25</v>
      </c>
      <c r="I797" s="67">
        <v>12925</v>
      </c>
      <c r="J797" s="68">
        <v>123456789</v>
      </c>
      <c r="K797" s="69" t="s">
        <v>889</v>
      </c>
    </row>
    <row r="798" spans="2:11" ht="20.100000000000001" customHeight="1" x14ac:dyDescent="0.3">
      <c r="B798" s="62">
        <v>45725</v>
      </c>
      <c r="C798" s="63" t="s">
        <v>1683</v>
      </c>
      <c r="D798" s="64">
        <v>123457584</v>
      </c>
      <c r="E798" s="70" t="s">
        <v>845</v>
      </c>
      <c r="F798" s="111" t="s">
        <v>868</v>
      </c>
      <c r="G798" s="66">
        <v>502</v>
      </c>
      <c r="H798" s="67">
        <v>30</v>
      </c>
      <c r="I798" s="67">
        <v>15060</v>
      </c>
      <c r="J798" s="68">
        <v>123456789</v>
      </c>
      <c r="K798" s="69" t="s">
        <v>887</v>
      </c>
    </row>
    <row r="799" spans="2:11" ht="20.100000000000001" customHeight="1" x14ac:dyDescent="0.3">
      <c r="B799" s="62">
        <v>45726</v>
      </c>
      <c r="C799" s="63" t="s">
        <v>1684</v>
      </c>
      <c r="D799" s="64">
        <v>123457585</v>
      </c>
      <c r="E799" s="65" t="s">
        <v>846</v>
      </c>
      <c r="F799" s="53" t="s">
        <v>868</v>
      </c>
      <c r="G799" s="66">
        <v>794</v>
      </c>
      <c r="H799" s="67">
        <v>24</v>
      </c>
      <c r="I799" s="67">
        <v>19056</v>
      </c>
      <c r="J799" s="68">
        <v>123456789</v>
      </c>
      <c r="K799" s="69" t="s">
        <v>887</v>
      </c>
    </row>
    <row r="800" spans="2:11" ht="20.100000000000001" customHeight="1" x14ac:dyDescent="0.3">
      <c r="B800" s="62">
        <v>45727</v>
      </c>
      <c r="C800" s="63" t="s">
        <v>1685</v>
      </c>
      <c r="D800" s="64">
        <v>123457586</v>
      </c>
      <c r="E800" s="70" t="s">
        <v>847</v>
      </c>
      <c r="F800" s="111" t="s">
        <v>868</v>
      </c>
      <c r="G800" s="66">
        <v>592</v>
      </c>
      <c r="H800" s="67">
        <v>31</v>
      </c>
      <c r="I800" s="67">
        <v>18352</v>
      </c>
      <c r="J800" s="68">
        <v>123456789</v>
      </c>
      <c r="K800" s="69" t="s">
        <v>887</v>
      </c>
    </row>
    <row r="801" spans="2:11" ht="20.100000000000001" customHeight="1" x14ac:dyDescent="0.3">
      <c r="B801" s="62">
        <v>45728</v>
      </c>
      <c r="C801" s="63" t="s">
        <v>1686</v>
      </c>
      <c r="D801" s="64">
        <v>123457587</v>
      </c>
      <c r="E801" s="65" t="s">
        <v>848</v>
      </c>
      <c r="F801" s="53" t="s">
        <v>868</v>
      </c>
      <c r="G801" s="66">
        <v>513</v>
      </c>
      <c r="H801" s="67">
        <v>22</v>
      </c>
      <c r="I801" s="67">
        <v>11286</v>
      </c>
      <c r="J801" s="68">
        <v>123456789</v>
      </c>
      <c r="K801" s="69" t="s">
        <v>887</v>
      </c>
    </row>
    <row r="802" spans="2:11" ht="20.100000000000001" customHeight="1" x14ac:dyDescent="0.3">
      <c r="B802" s="62">
        <v>45729</v>
      </c>
      <c r="C802" s="63" t="s">
        <v>1687</v>
      </c>
      <c r="D802" s="64">
        <v>123457588</v>
      </c>
      <c r="E802" s="70" t="s">
        <v>849</v>
      </c>
      <c r="F802" s="111" t="s">
        <v>868</v>
      </c>
      <c r="G802" s="66">
        <v>976</v>
      </c>
      <c r="H802" s="67">
        <v>31</v>
      </c>
      <c r="I802" s="67">
        <v>30256</v>
      </c>
      <c r="J802" s="68">
        <v>123456789</v>
      </c>
      <c r="K802" s="69" t="s">
        <v>889</v>
      </c>
    </row>
    <row r="803" spans="2:11" ht="20.100000000000001" customHeight="1" x14ac:dyDescent="0.3">
      <c r="B803" s="62">
        <v>45730</v>
      </c>
      <c r="C803" s="63" t="s">
        <v>1688</v>
      </c>
      <c r="D803" s="64">
        <v>123457589</v>
      </c>
      <c r="E803" s="65" t="s">
        <v>850</v>
      </c>
      <c r="F803" s="53" t="s">
        <v>868</v>
      </c>
      <c r="G803" s="66">
        <v>662</v>
      </c>
      <c r="H803" s="67">
        <v>30</v>
      </c>
      <c r="I803" s="67">
        <v>19860</v>
      </c>
      <c r="J803" s="68">
        <v>123456789</v>
      </c>
      <c r="K803" s="69" t="s">
        <v>887</v>
      </c>
    </row>
    <row r="804" spans="2:11" ht="20.100000000000001" customHeight="1" x14ac:dyDescent="0.3">
      <c r="B804" s="62">
        <v>45731</v>
      </c>
      <c r="C804" s="63" t="s">
        <v>1689</v>
      </c>
      <c r="D804" s="64">
        <v>123457590</v>
      </c>
      <c r="E804" s="70" t="s">
        <v>851</v>
      </c>
      <c r="F804" s="111" t="s">
        <v>868</v>
      </c>
      <c r="G804" s="66">
        <v>758</v>
      </c>
      <c r="H804" s="67">
        <v>30</v>
      </c>
      <c r="I804" s="67">
        <v>22740</v>
      </c>
      <c r="J804" s="68">
        <v>123456789</v>
      </c>
      <c r="K804" s="69" t="s">
        <v>889</v>
      </c>
    </row>
    <row r="805" spans="2:11" ht="20.100000000000001" customHeight="1" x14ac:dyDescent="0.3">
      <c r="B805" s="62">
        <v>45732</v>
      </c>
      <c r="C805" s="63" t="s">
        <v>1690</v>
      </c>
      <c r="D805" s="64">
        <v>123457591</v>
      </c>
      <c r="E805" s="65" t="s">
        <v>852</v>
      </c>
      <c r="F805" s="53" t="s">
        <v>868</v>
      </c>
      <c r="G805" s="66">
        <v>875</v>
      </c>
      <c r="H805" s="67">
        <v>29</v>
      </c>
      <c r="I805" s="67">
        <v>25375</v>
      </c>
      <c r="J805" s="68">
        <v>123456789</v>
      </c>
      <c r="K805" s="69" t="s">
        <v>887</v>
      </c>
    </row>
    <row r="806" spans="2:11" ht="20.100000000000001" customHeight="1" x14ac:dyDescent="0.3">
      <c r="B806" s="62">
        <v>45733</v>
      </c>
      <c r="C806" s="63" t="s">
        <v>1691</v>
      </c>
      <c r="D806" s="64">
        <v>123457592</v>
      </c>
      <c r="E806" s="70" t="s">
        <v>853</v>
      </c>
      <c r="F806" s="111" t="s">
        <v>868</v>
      </c>
      <c r="G806" s="66">
        <v>605</v>
      </c>
      <c r="H806" s="67">
        <v>21</v>
      </c>
      <c r="I806" s="67">
        <v>12705</v>
      </c>
      <c r="J806" s="68">
        <v>123456789</v>
      </c>
      <c r="K806" s="69" t="s">
        <v>889</v>
      </c>
    </row>
    <row r="807" spans="2:11" ht="20.100000000000001" customHeight="1" x14ac:dyDescent="0.3">
      <c r="B807" s="62">
        <v>45734</v>
      </c>
      <c r="C807" s="63" t="s">
        <v>1692</v>
      </c>
      <c r="D807" s="64">
        <v>123457593</v>
      </c>
      <c r="E807" s="65" t="s">
        <v>854</v>
      </c>
      <c r="F807" s="53" t="s">
        <v>868</v>
      </c>
      <c r="G807" s="66">
        <v>671</v>
      </c>
      <c r="H807" s="67">
        <v>22</v>
      </c>
      <c r="I807" s="67">
        <v>14762</v>
      </c>
      <c r="J807" s="68">
        <v>123456789</v>
      </c>
      <c r="K807" s="69" t="s">
        <v>887</v>
      </c>
    </row>
    <row r="808" spans="2:11" ht="20.100000000000001" customHeight="1" x14ac:dyDescent="0.3">
      <c r="B808" s="62">
        <v>45735</v>
      </c>
      <c r="C808" s="63" t="s">
        <v>1693</v>
      </c>
      <c r="D808" s="64">
        <v>123457594</v>
      </c>
      <c r="E808" s="70" t="s">
        <v>855</v>
      </c>
      <c r="F808" s="111" t="s">
        <v>868</v>
      </c>
      <c r="G808" s="66">
        <v>999</v>
      </c>
      <c r="H808" s="67">
        <v>29</v>
      </c>
      <c r="I808" s="67">
        <v>28971</v>
      </c>
      <c r="J808" s="68">
        <v>123456789</v>
      </c>
      <c r="K808" s="69" t="s">
        <v>887</v>
      </c>
    </row>
    <row r="809" spans="2:11" ht="20.100000000000001" customHeight="1" x14ac:dyDescent="0.3">
      <c r="B809" s="62">
        <v>45736</v>
      </c>
      <c r="C809" s="63" t="s">
        <v>1694</v>
      </c>
      <c r="D809" s="64">
        <v>123457595</v>
      </c>
      <c r="E809" s="65" t="s">
        <v>856</v>
      </c>
      <c r="F809" s="53" t="s">
        <v>868</v>
      </c>
      <c r="G809" s="66">
        <v>949</v>
      </c>
      <c r="H809" s="67">
        <v>24</v>
      </c>
      <c r="I809" s="67">
        <v>22776</v>
      </c>
      <c r="J809" s="68">
        <v>123456789</v>
      </c>
      <c r="K809" s="69" t="s">
        <v>887</v>
      </c>
    </row>
    <row r="810" spans="2:11" ht="20.100000000000001" customHeight="1" x14ac:dyDescent="0.3">
      <c r="B810" s="62">
        <v>45737</v>
      </c>
      <c r="C810" s="63" t="s">
        <v>1695</v>
      </c>
      <c r="D810" s="64">
        <v>123457596</v>
      </c>
      <c r="E810" s="70" t="s">
        <v>857</v>
      </c>
      <c r="F810" s="111" t="s">
        <v>868</v>
      </c>
      <c r="G810" s="66">
        <v>979</v>
      </c>
      <c r="H810" s="67">
        <v>22</v>
      </c>
      <c r="I810" s="67">
        <v>21538</v>
      </c>
      <c r="J810" s="68">
        <v>123456789</v>
      </c>
      <c r="K810" s="69" t="s">
        <v>887</v>
      </c>
    </row>
    <row r="811" spans="2:11" ht="20.100000000000001" customHeight="1" x14ac:dyDescent="0.3">
      <c r="B811" s="62">
        <v>45738</v>
      </c>
      <c r="C811" s="63" t="s">
        <v>1696</v>
      </c>
      <c r="D811" s="64">
        <v>123457597</v>
      </c>
      <c r="E811" s="65" t="s">
        <v>858</v>
      </c>
      <c r="F811" s="53" t="s">
        <v>868</v>
      </c>
      <c r="G811" s="66">
        <v>793</v>
      </c>
      <c r="H811" s="67">
        <v>28</v>
      </c>
      <c r="I811" s="67">
        <v>22204</v>
      </c>
      <c r="J811" s="68">
        <v>123456789</v>
      </c>
      <c r="K811" s="69" t="s">
        <v>889</v>
      </c>
    </row>
    <row r="812" spans="2:11" ht="20.100000000000001" customHeight="1" x14ac:dyDescent="0.3">
      <c r="B812" s="62">
        <v>45739</v>
      </c>
      <c r="C812" s="63" t="s">
        <v>1697</v>
      </c>
      <c r="D812" s="64">
        <v>123457598</v>
      </c>
      <c r="E812" s="70" t="s">
        <v>859</v>
      </c>
      <c r="F812" s="111" t="s">
        <v>869</v>
      </c>
      <c r="G812" s="66">
        <v>967</v>
      </c>
      <c r="H812" s="67">
        <v>27</v>
      </c>
      <c r="I812" s="67">
        <v>26109</v>
      </c>
      <c r="J812" s="68">
        <v>123456789</v>
      </c>
      <c r="K812" s="69" t="s">
        <v>887</v>
      </c>
    </row>
    <row r="813" spans="2:11" ht="20.100000000000001" customHeight="1" x14ac:dyDescent="0.3">
      <c r="B813" s="62">
        <v>45740</v>
      </c>
      <c r="C813" s="63" t="s">
        <v>1698</v>
      </c>
      <c r="D813" s="64">
        <v>123457599</v>
      </c>
      <c r="E813" s="65" t="s">
        <v>860</v>
      </c>
      <c r="F813" s="53" t="s">
        <v>868</v>
      </c>
      <c r="G813" s="66">
        <v>689</v>
      </c>
      <c r="H813" s="67">
        <v>30</v>
      </c>
      <c r="I813" s="67">
        <v>20670</v>
      </c>
      <c r="J813" s="68">
        <v>123456789</v>
      </c>
      <c r="K813" s="69" t="s">
        <v>887</v>
      </c>
    </row>
    <row r="814" spans="2:11" ht="20.100000000000001" customHeight="1" x14ac:dyDescent="0.3">
      <c r="B814" s="62">
        <v>45741</v>
      </c>
      <c r="C814" s="63" t="s">
        <v>1699</v>
      </c>
      <c r="D814" s="64">
        <v>123457600</v>
      </c>
      <c r="E814" s="70" t="s">
        <v>861</v>
      </c>
      <c r="F814" s="111" t="s">
        <v>868</v>
      </c>
      <c r="G814" s="66">
        <v>883</v>
      </c>
      <c r="H814" s="67">
        <v>23</v>
      </c>
      <c r="I814" s="67">
        <v>20309</v>
      </c>
      <c r="J814" s="68">
        <v>123456789</v>
      </c>
      <c r="K814" s="69" t="s">
        <v>889</v>
      </c>
    </row>
    <row r="815" spans="2:11" ht="20.100000000000001" customHeight="1" x14ac:dyDescent="0.3">
      <c r="B815" s="62">
        <v>45742</v>
      </c>
      <c r="C815" s="63" t="s">
        <v>1700</v>
      </c>
      <c r="D815" s="64">
        <v>123457601</v>
      </c>
      <c r="E815" s="65" t="s">
        <v>862</v>
      </c>
      <c r="F815" s="53" t="s">
        <v>868</v>
      </c>
      <c r="G815" s="66">
        <v>687</v>
      </c>
      <c r="H815" s="67">
        <v>24</v>
      </c>
      <c r="I815" s="67">
        <v>16488</v>
      </c>
      <c r="J815" s="68">
        <v>123456789</v>
      </c>
      <c r="K815" s="69" t="s">
        <v>887</v>
      </c>
    </row>
    <row r="816" spans="2:11" ht="20.100000000000001" customHeight="1" x14ac:dyDescent="0.3">
      <c r="B816" s="62">
        <v>45743</v>
      </c>
      <c r="C816" s="63" t="s">
        <v>1701</v>
      </c>
      <c r="D816" s="64">
        <v>123457602</v>
      </c>
      <c r="E816" s="70" t="s">
        <v>863</v>
      </c>
      <c r="F816" s="111" t="s">
        <v>868</v>
      </c>
      <c r="G816" s="66">
        <v>982</v>
      </c>
      <c r="H816" s="67">
        <v>22</v>
      </c>
      <c r="I816" s="67">
        <v>21604</v>
      </c>
      <c r="J816" s="68">
        <v>123456789</v>
      </c>
      <c r="K816" s="69" t="s">
        <v>887</v>
      </c>
    </row>
    <row r="817" spans="2:11" ht="20.100000000000001" customHeight="1" x14ac:dyDescent="0.3">
      <c r="B817" s="62">
        <v>45744</v>
      </c>
      <c r="C817" s="63" t="s">
        <v>1702</v>
      </c>
      <c r="D817" s="64">
        <v>123457603</v>
      </c>
      <c r="E817" s="65" t="s">
        <v>864</v>
      </c>
      <c r="F817" s="53" t="s">
        <v>868</v>
      </c>
      <c r="G817" s="66">
        <v>621</v>
      </c>
      <c r="H817" s="67">
        <v>28</v>
      </c>
      <c r="I817" s="67">
        <v>17388</v>
      </c>
      <c r="J817" s="68">
        <v>123456789</v>
      </c>
      <c r="K817" s="69" t="s">
        <v>887</v>
      </c>
    </row>
    <row r="818" spans="2:11" ht="20.100000000000001" customHeight="1" x14ac:dyDescent="0.3">
      <c r="B818" s="62">
        <v>45745</v>
      </c>
      <c r="C818" s="63" t="s">
        <v>1703</v>
      </c>
      <c r="D818" s="64">
        <v>123457604</v>
      </c>
      <c r="E818" s="70" t="s">
        <v>865</v>
      </c>
      <c r="F818" s="111" t="s">
        <v>869</v>
      </c>
      <c r="G818" s="66">
        <v>963</v>
      </c>
      <c r="H818" s="67">
        <v>27</v>
      </c>
      <c r="I818" s="67">
        <v>26001</v>
      </c>
      <c r="J818" s="68">
        <v>123456789</v>
      </c>
      <c r="K818" s="69" t="s">
        <v>887</v>
      </c>
    </row>
    <row r="819" spans="2:11" ht="20.100000000000001" customHeight="1" x14ac:dyDescent="0.3">
      <c r="B819" s="62">
        <v>45746</v>
      </c>
      <c r="C819" s="63" t="s">
        <v>1704</v>
      </c>
      <c r="D819" s="64">
        <v>123457605</v>
      </c>
      <c r="E819" s="65" t="s">
        <v>866</v>
      </c>
      <c r="F819" s="53" t="s">
        <v>868</v>
      </c>
      <c r="G819" s="66">
        <v>772</v>
      </c>
      <c r="H819" s="67">
        <v>31</v>
      </c>
      <c r="I819" s="67">
        <v>23932</v>
      </c>
      <c r="J819" s="68">
        <v>123456789</v>
      </c>
      <c r="K819" s="69" t="s">
        <v>887</v>
      </c>
    </row>
    <row r="820" spans="2:11" ht="20.100000000000001" customHeight="1" x14ac:dyDescent="0.3">
      <c r="B820" s="62">
        <v>45747</v>
      </c>
      <c r="C820" s="63" t="s">
        <v>1705</v>
      </c>
      <c r="D820" s="64">
        <v>123457606</v>
      </c>
      <c r="E820" s="70" t="s">
        <v>867</v>
      </c>
      <c r="F820" s="111" t="s">
        <v>868</v>
      </c>
      <c r="G820" s="66">
        <v>919</v>
      </c>
      <c r="H820" s="67">
        <v>21</v>
      </c>
      <c r="I820" s="67">
        <v>19299</v>
      </c>
      <c r="J820" s="68">
        <v>123456789</v>
      </c>
      <c r="K820" s="69" t="s">
        <v>889</v>
      </c>
    </row>
  </sheetData>
  <dataValidations count="1">
    <dataValidation allowBlank="1" showInputMessage="1" showErrorMessage="1" promptTitle="Sales Report Template" prompt="_x000a_Enter Sales Data to the table below. The next four tabs contain pivot tables linked to this table." sqref="A1" xr:uid="{272A0557-1D78-47FC-AA29-6E488DA645AB}"/>
  </dataValidations>
  <printOptions horizontalCentered="1"/>
  <pageMargins left="0.25" right="0.25" top="0.75" bottom="0.75" header="0.3" footer="0.3"/>
  <pageSetup scale="92" fitToHeight="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B048-6172-404B-ADEA-5AAEE5DB4ABB}">
  <dimension ref="A1:J819"/>
  <sheetViews>
    <sheetView workbookViewId="0">
      <selection activeCell="L5" sqref="L5"/>
    </sheetView>
  </sheetViews>
  <sheetFormatPr defaultRowHeight="14.4" x14ac:dyDescent="0.3"/>
  <cols>
    <col min="1" max="1" width="11.88671875" bestFit="1" customWidth="1"/>
    <col min="2" max="2" width="19" bestFit="1" customWidth="1"/>
    <col min="3" max="3" width="13.6640625" bestFit="1" customWidth="1"/>
    <col min="4" max="4" width="16.5546875" bestFit="1" customWidth="1"/>
    <col min="5" max="5" width="13.33203125" bestFit="1" customWidth="1"/>
    <col min="6" max="6" width="12.77734375" bestFit="1" customWidth="1"/>
    <col min="7" max="7" width="14.44140625" bestFit="1" customWidth="1"/>
    <col min="8" max="8" width="10.77734375" bestFit="1" customWidth="1"/>
    <col min="9" max="9" width="16" bestFit="1" customWidth="1"/>
  </cols>
  <sheetData>
    <row r="1" spans="1:10" x14ac:dyDescent="0.3">
      <c r="A1" s="109" t="s">
        <v>29</v>
      </c>
      <c r="B1" s="57" t="s">
        <v>30</v>
      </c>
      <c r="C1" s="58" t="s">
        <v>31</v>
      </c>
      <c r="D1" s="59" t="s">
        <v>32</v>
      </c>
      <c r="E1" s="59" t="s">
        <v>47</v>
      </c>
      <c r="F1" s="59" t="s">
        <v>33</v>
      </c>
      <c r="G1" s="60" t="s">
        <v>14</v>
      </c>
      <c r="H1" s="60" t="s">
        <v>17</v>
      </c>
      <c r="I1" s="58" t="s">
        <v>34</v>
      </c>
      <c r="J1" s="61" t="s">
        <v>35</v>
      </c>
    </row>
    <row r="2" spans="1:10" x14ac:dyDescent="0.3">
      <c r="A2" s="62">
        <v>44930</v>
      </c>
      <c r="B2" s="63" t="s">
        <v>886</v>
      </c>
      <c r="C2" s="64">
        <v>123456789</v>
      </c>
      <c r="D2" s="65" t="s">
        <v>50</v>
      </c>
      <c r="E2" s="53" t="s">
        <v>868</v>
      </c>
      <c r="F2" s="66">
        <v>925</v>
      </c>
      <c r="G2" s="67">
        <v>28</v>
      </c>
      <c r="H2" s="67">
        <v>25900</v>
      </c>
      <c r="I2" s="68">
        <v>123456789</v>
      </c>
      <c r="J2" s="69" t="s">
        <v>887</v>
      </c>
    </row>
    <row r="3" spans="1:10" x14ac:dyDescent="0.3">
      <c r="A3" s="62">
        <v>44931</v>
      </c>
      <c r="B3" s="63" t="s">
        <v>888</v>
      </c>
      <c r="C3" s="64">
        <v>123456790</v>
      </c>
      <c r="D3" s="70" t="s">
        <v>51</v>
      </c>
      <c r="E3" s="111" t="s">
        <v>869</v>
      </c>
      <c r="F3" s="66">
        <v>717</v>
      </c>
      <c r="G3" s="67">
        <v>30</v>
      </c>
      <c r="H3" s="67">
        <v>21510</v>
      </c>
      <c r="I3" s="68">
        <v>123456789</v>
      </c>
      <c r="J3" s="69" t="s">
        <v>889</v>
      </c>
    </row>
    <row r="4" spans="1:10" x14ac:dyDescent="0.3">
      <c r="A4" s="62">
        <v>44932</v>
      </c>
      <c r="B4" s="63" t="s">
        <v>890</v>
      </c>
      <c r="C4" s="64">
        <v>123456791</v>
      </c>
      <c r="D4" s="65" t="s">
        <v>52</v>
      </c>
      <c r="E4" s="53" t="s">
        <v>868</v>
      </c>
      <c r="F4" s="66">
        <v>502</v>
      </c>
      <c r="G4" s="67">
        <v>26</v>
      </c>
      <c r="H4" s="67">
        <v>13052</v>
      </c>
      <c r="I4" s="68">
        <v>123456789</v>
      </c>
      <c r="J4" s="69" t="s">
        <v>887</v>
      </c>
    </row>
    <row r="5" spans="1:10" x14ac:dyDescent="0.3">
      <c r="A5" s="62">
        <v>44933</v>
      </c>
      <c r="B5" s="63" t="s">
        <v>891</v>
      </c>
      <c r="C5" s="64">
        <v>123456792</v>
      </c>
      <c r="D5" s="70" t="s">
        <v>53</v>
      </c>
      <c r="E5" s="111" t="s">
        <v>868</v>
      </c>
      <c r="F5" s="66">
        <v>914</v>
      </c>
      <c r="G5" s="67">
        <v>25</v>
      </c>
      <c r="H5" s="67">
        <v>22850</v>
      </c>
      <c r="I5" s="68">
        <v>123456789</v>
      </c>
      <c r="J5" s="69" t="s">
        <v>889</v>
      </c>
    </row>
    <row r="6" spans="1:10" x14ac:dyDescent="0.3">
      <c r="A6" s="62">
        <v>44934</v>
      </c>
      <c r="B6" s="63" t="s">
        <v>892</v>
      </c>
      <c r="C6" s="64">
        <v>123456793</v>
      </c>
      <c r="D6" s="65" t="s">
        <v>54</v>
      </c>
      <c r="E6" s="53" t="s">
        <v>868</v>
      </c>
      <c r="F6" s="66">
        <v>542</v>
      </c>
      <c r="G6" s="67">
        <v>25</v>
      </c>
      <c r="H6" s="67">
        <v>13550</v>
      </c>
      <c r="I6" s="68">
        <v>123456789</v>
      </c>
      <c r="J6" s="69" t="s">
        <v>889</v>
      </c>
    </row>
    <row r="7" spans="1:10" x14ac:dyDescent="0.3">
      <c r="A7" s="62">
        <v>44935</v>
      </c>
      <c r="B7" s="63" t="s">
        <v>893</v>
      </c>
      <c r="C7" s="64">
        <v>123456794</v>
      </c>
      <c r="D7" s="70" t="s">
        <v>55</v>
      </c>
      <c r="E7" s="111" t="s">
        <v>868</v>
      </c>
      <c r="F7" s="66">
        <v>854</v>
      </c>
      <c r="G7" s="67">
        <v>23</v>
      </c>
      <c r="H7" s="67">
        <v>19642</v>
      </c>
      <c r="I7" s="68">
        <v>123456789</v>
      </c>
      <c r="J7" s="69" t="s">
        <v>887</v>
      </c>
    </row>
    <row r="8" spans="1:10" x14ac:dyDescent="0.3">
      <c r="A8" s="62">
        <v>44936</v>
      </c>
      <c r="B8" s="63" t="s">
        <v>894</v>
      </c>
      <c r="C8" s="64">
        <v>123456795</v>
      </c>
      <c r="D8" s="65" t="s">
        <v>56</v>
      </c>
      <c r="E8" s="53" t="s">
        <v>868</v>
      </c>
      <c r="F8" s="66">
        <v>677</v>
      </c>
      <c r="G8" s="67">
        <v>24</v>
      </c>
      <c r="H8" s="67">
        <v>16248</v>
      </c>
      <c r="I8" s="68">
        <v>123456789</v>
      </c>
      <c r="J8" s="69" t="s">
        <v>887</v>
      </c>
    </row>
    <row r="9" spans="1:10" x14ac:dyDescent="0.3">
      <c r="A9" s="62">
        <v>44937</v>
      </c>
      <c r="B9" s="63" t="s">
        <v>895</v>
      </c>
      <c r="C9" s="64">
        <v>123456796</v>
      </c>
      <c r="D9" s="70" t="s">
        <v>57</v>
      </c>
      <c r="E9" s="111" t="s">
        <v>868</v>
      </c>
      <c r="F9" s="66">
        <v>706</v>
      </c>
      <c r="G9" s="67">
        <v>26</v>
      </c>
      <c r="H9" s="67">
        <v>18356</v>
      </c>
      <c r="I9" s="68">
        <v>123456789</v>
      </c>
      <c r="J9" s="69" t="s">
        <v>887</v>
      </c>
    </row>
    <row r="10" spans="1:10" x14ac:dyDescent="0.3">
      <c r="A10" s="62">
        <v>44938</v>
      </c>
      <c r="B10" s="63" t="s">
        <v>896</v>
      </c>
      <c r="C10" s="64">
        <v>123456797</v>
      </c>
      <c r="D10" s="65" t="s">
        <v>58</v>
      </c>
      <c r="E10" s="53" t="s">
        <v>868</v>
      </c>
      <c r="F10" s="66">
        <v>877</v>
      </c>
      <c r="G10" s="67">
        <v>26</v>
      </c>
      <c r="H10" s="67">
        <v>22802</v>
      </c>
      <c r="I10" s="68">
        <v>123456789</v>
      </c>
      <c r="J10" s="69" t="s">
        <v>887</v>
      </c>
    </row>
    <row r="11" spans="1:10" x14ac:dyDescent="0.3">
      <c r="A11" s="62">
        <v>44939</v>
      </c>
      <c r="B11" s="63" t="s">
        <v>897</v>
      </c>
      <c r="C11" s="64">
        <v>123456798</v>
      </c>
      <c r="D11" s="70" t="s">
        <v>59</v>
      </c>
      <c r="E11" s="111" t="s">
        <v>868</v>
      </c>
      <c r="F11" s="66">
        <v>635</v>
      </c>
      <c r="G11" s="67">
        <v>22</v>
      </c>
      <c r="H11" s="67">
        <v>13970</v>
      </c>
      <c r="I11" s="68">
        <v>123456789</v>
      </c>
      <c r="J11" s="69" t="s">
        <v>889</v>
      </c>
    </row>
    <row r="12" spans="1:10" x14ac:dyDescent="0.3">
      <c r="A12" s="62">
        <v>44940</v>
      </c>
      <c r="B12" s="63" t="s">
        <v>898</v>
      </c>
      <c r="C12" s="64">
        <v>123456799</v>
      </c>
      <c r="D12" s="65" t="s">
        <v>60</v>
      </c>
      <c r="E12" s="53" t="s">
        <v>868</v>
      </c>
      <c r="F12" s="66">
        <v>809</v>
      </c>
      <c r="G12" s="67">
        <v>31</v>
      </c>
      <c r="H12" s="67">
        <v>25079</v>
      </c>
      <c r="I12" s="68">
        <v>123456789</v>
      </c>
      <c r="J12" s="69" t="s">
        <v>887</v>
      </c>
    </row>
    <row r="13" spans="1:10" x14ac:dyDescent="0.3">
      <c r="A13" s="62">
        <v>44941</v>
      </c>
      <c r="B13" s="63" t="s">
        <v>899</v>
      </c>
      <c r="C13" s="64">
        <v>123456800</v>
      </c>
      <c r="D13" s="70" t="s">
        <v>61</v>
      </c>
      <c r="E13" s="111" t="s">
        <v>869</v>
      </c>
      <c r="F13" s="66">
        <v>994</v>
      </c>
      <c r="G13" s="67">
        <v>27</v>
      </c>
      <c r="H13" s="67">
        <v>26838</v>
      </c>
      <c r="I13" s="68">
        <v>123456789</v>
      </c>
      <c r="J13" s="69" t="s">
        <v>889</v>
      </c>
    </row>
    <row r="14" spans="1:10" x14ac:dyDescent="0.3">
      <c r="A14" s="62">
        <v>44942</v>
      </c>
      <c r="B14" s="63" t="s">
        <v>900</v>
      </c>
      <c r="C14" s="64">
        <v>123456801</v>
      </c>
      <c r="D14" s="65" t="s">
        <v>62</v>
      </c>
      <c r="E14" s="53" t="s">
        <v>869</v>
      </c>
      <c r="F14" s="66">
        <v>871</v>
      </c>
      <c r="G14" s="67">
        <v>23</v>
      </c>
      <c r="H14" s="67">
        <v>20033</v>
      </c>
      <c r="I14" s="68">
        <v>123456789</v>
      </c>
      <c r="J14" s="69" t="s">
        <v>887</v>
      </c>
    </row>
    <row r="15" spans="1:10" x14ac:dyDescent="0.3">
      <c r="A15" s="62">
        <v>44943</v>
      </c>
      <c r="B15" s="63" t="s">
        <v>901</v>
      </c>
      <c r="C15" s="64">
        <v>123456802</v>
      </c>
      <c r="D15" s="70" t="s">
        <v>63</v>
      </c>
      <c r="E15" s="111" t="s">
        <v>868</v>
      </c>
      <c r="F15" s="66">
        <v>708</v>
      </c>
      <c r="G15" s="67">
        <v>28</v>
      </c>
      <c r="H15" s="67">
        <v>19824</v>
      </c>
      <c r="I15" s="68">
        <v>123456789</v>
      </c>
      <c r="J15" s="69" t="s">
        <v>889</v>
      </c>
    </row>
    <row r="16" spans="1:10" x14ac:dyDescent="0.3">
      <c r="A16" s="62">
        <v>44944</v>
      </c>
      <c r="B16" s="63" t="s">
        <v>902</v>
      </c>
      <c r="C16" s="64">
        <v>123456803</v>
      </c>
      <c r="D16" s="65" t="s">
        <v>64</v>
      </c>
      <c r="E16" s="53" t="s">
        <v>868</v>
      </c>
      <c r="F16" s="66">
        <v>555</v>
      </c>
      <c r="G16" s="67">
        <v>25</v>
      </c>
      <c r="H16" s="67">
        <v>13875</v>
      </c>
      <c r="I16" s="68">
        <v>123456789</v>
      </c>
      <c r="J16" s="69" t="s">
        <v>889</v>
      </c>
    </row>
    <row r="17" spans="1:10" x14ac:dyDescent="0.3">
      <c r="A17" s="62">
        <v>44945</v>
      </c>
      <c r="B17" s="63" t="s">
        <v>903</v>
      </c>
      <c r="C17" s="64">
        <v>123456804</v>
      </c>
      <c r="D17" s="70" t="s">
        <v>65</v>
      </c>
      <c r="E17" s="111" t="s">
        <v>869</v>
      </c>
      <c r="F17" s="66">
        <v>875</v>
      </c>
      <c r="G17" s="67">
        <v>27</v>
      </c>
      <c r="H17" s="67">
        <v>23625</v>
      </c>
      <c r="I17" s="68">
        <v>123456789</v>
      </c>
      <c r="J17" s="69" t="s">
        <v>887</v>
      </c>
    </row>
    <row r="18" spans="1:10" x14ac:dyDescent="0.3">
      <c r="A18" s="62">
        <v>44946</v>
      </c>
      <c r="B18" s="63" t="s">
        <v>904</v>
      </c>
      <c r="C18" s="64">
        <v>123456805</v>
      </c>
      <c r="D18" s="65" t="s">
        <v>66</v>
      </c>
      <c r="E18" s="53" t="s">
        <v>868</v>
      </c>
      <c r="F18" s="66">
        <v>749</v>
      </c>
      <c r="G18" s="67">
        <v>26</v>
      </c>
      <c r="H18" s="67">
        <v>19474</v>
      </c>
      <c r="I18" s="68">
        <v>123456789</v>
      </c>
      <c r="J18" s="69" t="s">
        <v>889</v>
      </c>
    </row>
    <row r="19" spans="1:10" x14ac:dyDescent="0.3">
      <c r="A19" s="62">
        <v>44947</v>
      </c>
      <c r="B19" s="63" t="s">
        <v>905</v>
      </c>
      <c r="C19" s="64">
        <v>123456806</v>
      </c>
      <c r="D19" s="70" t="s">
        <v>67</v>
      </c>
      <c r="E19" s="111" t="s">
        <v>868</v>
      </c>
      <c r="F19" s="66">
        <v>970</v>
      </c>
      <c r="G19" s="67">
        <v>30</v>
      </c>
      <c r="H19" s="67">
        <v>29100</v>
      </c>
      <c r="I19" s="68">
        <v>123456789</v>
      </c>
      <c r="J19" s="69" t="s">
        <v>887</v>
      </c>
    </row>
    <row r="20" spans="1:10" x14ac:dyDescent="0.3">
      <c r="A20" s="62">
        <v>44948</v>
      </c>
      <c r="B20" s="63" t="s">
        <v>906</v>
      </c>
      <c r="C20" s="64">
        <v>123456807</v>
      </c>
      <c r="D20" s="65" t="s">
        <v>68</v>
      </c>
      <c r="E20" s="53" t="s">
        <v>868</v>
      </c>
      <c r="F20" s="66">
        <v>791</v>
      </c>
      <c r="G20" s="67">
        <v>27</v>
      </c>
      <c r="H20" s="67">
        <v>21357</v>
      </c>
      <c r="I20" s="68">
        <v>123456789</v>
      </c>
      <c r="J20" s="69" t="s">
        <v>889</v>
      </c>
    </row>
    <row r="21" spans="1:10" x14ac:dyDescent="0.3">
      <c r="A21" s="62">
        <v>44949</v>
      </c>
      <c r="B21" s="63" t="s">
        <v>907</v>
      </c>
      <c r="C21" s="64">
        <v>123456808</v>
      </c>
      <c r="D21" s="70" t="s">
        <v>69</v>
      </c>
      <c r="E21" s="111" t="s">
        <v>868</v>
      </c>
      <c r="F21" s="66">
        <v>926</v>
      </c>
      <c r="G21" s="67">
        <v>21</v>
      </c>
      <c r="H21" s="67">
        <v>19446</v>
      </c>
      <c r="I21" s="68">
        <v>123456789</v>
      </c>
      <c r="J21" s="69" t="s">
        <v>887</v>
      </c>
    </row>
    <row r="22" spans="1:10" x14ac:dyDescent="0.3">
      <c r="A22" s="62">
        <v>44950</v>
      </c>
      <c r="B22" s="63" t="s">
        <v>908</v>
      </c>
      <c r="C22" s="64">
        <v>123456809</v>
      </c>
      <c r="D22" s="65" t="s">
        <v>70</v>
      </c>
      <c r="E22" s="53" t="s">
        <v>868</v>
      </c>
      <c r="F22" s="66">
        <v>543</v>
      </c>
      <c r="G22" s="67">
        <v>22</v>
      </c>
      <c r="H22" s="67">
        <v>11946</v>
      </c>
      <c r="I22" s="68">
        <v>123456789</v>
      </c>
      <c r="J22" s="69" t="s">
        <v>887</v>
      </c>
    </row>
    <row r="23" spans="1:10" x14ac:dyDescent="0.3">
      <c r="A23" s="62">
        <v>44951</v>
      </c>
      <c r="B23" s="63" t="s">
        <v>909</v>
      </c>
      <c r="C23" s="64">
        <v>123456810</v>
      </c>
      <c r="D23" s="70" t="s">
        <v>71</v>
      </c>
      <c r="E23" s="111" t="s">
        <v>869</v>
      </c>
      <c r="F23" s="66">
        <v>822</v>
      </c>
      <c r="G23" s="67">
        <v>30</v>
      </c>
      <c r="H23" s="67">
        <v>24660</v>
      </c>
      <c r="I23" s="68">
        <v>123456789</v>
      </c>
      <c r="J23" s="69" t="s">
        <v>887</v>
      </c>
    </row>
    <row r="24" spans="1:10" x14ac:dyDescent="0.3">
      <c r="A24" s="62">
        <v>44952</v>
      </c>
      <c r="B24" s="63" t="s">
        <v>910</v>
      </c>
      <c r="C24" s="64">
        <v>123456811</v>
      </c>
      <c r="D24" s="65" t="s">
        <v>72</v>
      </c>
      <c r="E24" s="53" t="s">
        <v>868</v>
      </c>
      <c r="F24" s="66">
        <v>508</v>
      </c>
      <c r="G24" s="67">
        <v>26</v>
      </c>
      <c r="H24" s="67">
        <v>13208</v>
      </c>
      <c r="I24" s="68">
        <v>123456789</v>
      </c>
      <c r="J24" s="69" t="s">
        <v>887</v>
      </c>
    </row>
    <row r="25" spans="1:10" x14ac:dyDescent="0.3">
      <c r="A25" s="62">
        <v>44953</v>
      </c>
      <c r="B25" s="63" t="s">
        <v>911</v>
      </c>
      <c r="C25" s="64">
        <v>123456812</v>
      </c>
      <c r="D25" s="70" t="s">
        <v>73</v>
      </c>
      <c r="E25" s="111" t="s">
        <v>868</v>
      </c>
      <c r="F25" s="66">
        <v>620</v>
      </c>
      <c r="G25" s="67">
        <v>30</v>
      </c>
      <c r="H25" s="67">
        <v>18600</v>
      </c>
      <c r="I25" s="68">
        <v>123456789</v>
      </c>
      <c r="J25" s="69" t="s">
        <v>887</v>
      </c>
    </row>
    <row r="26" spans="1:10" x14ac:dyDescent="0.3">
      <c r="A26" s="62">
        <v>44954</v>
      </c>
      <c r="B26" s="63" t="s">
        <v>912</v>
      </c>
      <c r="C26" s="64">
        <v>123456813</v>
      </c>
      <c r="D26" s="65" t="s">
        <v>74</v>
      </c>
      <c r="E26" s="53" t="s">
        <v>868</v>
      </c>
      <c r="F26" s="66">
        <v>892</v>
      </c>
      <c r="G26" s="67">
        <v>25</v>
      </c>
      <c r="H26" s="67">
        <v>22300</v>
      </c>
      <c r="I26" s="68">
        <v>123456789</v>
      </c>
      <c r="J26" s="69" t="s">
        <v>887</v>
      </c>
    </row>
    <row r="27" spans="1:10" x14ac:dyDescent="0.3">
      <c r="A27" s="62">
        <v>44955</v>
      </c>
      <c r="B27" s="63" t="s">
        <v>913</v>
      </c>
      <c r="C27" s="64">
        <v>123456814</v>
      </c>
      <c r="D27" s="70" t="s">
        <v>75</v>
      </c>
      <c r="E27" s="111" t="s">
        <v>869</v>
      </c>
      <c r="F27" s="66">
        <v>585</v>
      </c>
      <c r="G27" s="67">
        <v>24</v>
      </c>
      <c r="H27" s="67">
        <v>14040</v>
      </c>
      <c r="I27" s="68">
        <v>123456789</v>
      </c>
      <c r="J27" s="69" t="s">
        <v>887</v>
      </c>
    </row>
    <row r="28" spans="1:10" x14ac:dyDescent="0.3">
      <c r="A28" s="62">
        <v>44956</v>
      </c>
      <c r="B28" s="63" t="s">
        <v>914</v>
      </c>
      <c r="C28" s="64">
        <v>123456815</v>
      </c>
      <c r="D28" s="65" t="s">
        <v>76</v>
      </c>
      <c r="E28" s="53" t="s">
        <v>868</v>
      </c>
      <c r="F28" s="66">
        <v>511</v>
      </c>
      <c r="G28" s="67">
        <v>21</v>
      </c>
      <c r="H28" s="67">
        <v>10731</v>
      </c>
      <c r="I28" s="68">
        <v>123456789</v>
      </c>
      <c r="J28" s="69" t="s">
        <v>887</v>
      </c>
    </row>
    <row r="29" spans="1:10" x14ac:dyDescent="0.3">
      <c r="A29" s="62">
        <v>44957</v>
      </c>
      <c r="B29" s="63" t="s">
        <v>915</v>
      </c>
      <c r="C29" s="64">
        <v>123456816</v>
      </c>
      <c r="D29" s="70" t="s">
        <v>77</v>
      </c>
      <c r="E29" s="111" t="s">
        <v>868</v>
      </c>
      <c r="F29" s="66">
        <v>800</v>
      </c>
      <c r="G29" s="67">
        <v>31</v>
      </c>
      <c r="H29" s="67">
        <v>24800</v>
      </c>
      <c r="I29" s="68">
        <v>123456789</v>
      </c>
      <c r="J29" s="69" t="s">
        <v>887</v>
      </c>
    </row>
    <row r="30" spans="1:10" x14ac:dyDescent="0.3">
      <c r="A30" s="62">
        <v>44958</v>
      </c>
      <c r="B30" s="63" t="s">
        <v>916</v>
      </c>
      <c r="C30" s="64">
        <v>123456817</v>
      </c>
      <c r="D30" s="65" t="s">
        <v>78</v>
      </c>
      <c r="E30" s="53" t="s">
        <v>868</v>
      </c>
      <c r="F30" s="66">
        <v>994</v>
      </c>
      <c r="G30" s="67">
        <v>21</v>
      </c>
      <c r="H30" s="67">
        <v>20874</v>
      </c>
      <c r="I30" s="68">
        <v>123456789</v>
      </c>
      <c r="J30" s="69" t="s">
        <v>887</v>
      </c>
    </row>
    <row r="31" spans="1:10" x14ac:dyDescent="0.3">
      <c r="A31" s="62">
        <v>44959</v>
      </c>
      <c r="B31" s="63" t="s">
        <v>917</v>
      </c>
      <c r="C31" s="64">
        <v>123456818</v>
      </c>
      <c r="D31" s="70" t="s">
        <v>79</v>
      </c>
      <c r="E31" s="111" t="s">
        <v>868</v>
      </c>
      <c r="F31" s="66">
        <v>533</v>
      </c>
      <c r="G31" s="67">
        <v>26</v>
      </c>
      <c r="H31" s="67">
        <v>13858</v>
      </c>
      <c r="I31" s="68">
        <v>123456789</v>
      </c>
      <c r="J31" s="69" t="s">
        <v>887</v>
      </c>
    </row>
    <row r="32" spans="1:10" x14ac:dyDescent="0.3">
      <c r="A32" s="62">
        <v>44960</v>
      </c>
      <c r="B32" s="63" t="s">
        <v>918</v>
      </c>
      <c r="C32" s="64">
        <v>123456819</v>
      </c>
      <c r="D32" s="65" t="s">
        <v>80</v>
      </c>
      <c r="E32" s="53" t="s">
        <v>868</v>
      </c>
      <c r="F32" s="66">
        <v>998</v>
      </c>
      <c r="G32" s="67">
        <v>29</v>
      </c>
      <c r="H32" s="67">
        <v>28942</v>
      </c>
      <c r="I32" s="68">
        <v>123456789</v>
      </c>
      <c r="J32" s="69" t="s">
        <v>887</v>
      </c>
    </row>
    <row r="33" spans="1:10" x14ac:dyDescent="0.3">
      <c r="A33" s="62">
        <v>44961</v>
      </c>
      <c r="B33" s="63" t="s">
        <v>919</v>
      </c>
      <c r="C33" s="64">
        <v>123456820</v>
      </c>
      <c r="D33" s="70" t="s">
        <v>81</v>
      </c>
      <c r="E33" s="111" t="s">
        <v>868</v>
      </c>
      <c r="F33" s="66">
        <v>851</v>
      </c>
      <c r="G33" s="67">
        <v>24</v>
      </c>
      <c r="H33" s="67">
        <v>20424</v>
      </c>
      <c r="I33" s="68">
        <v>123456789</v>
      </c>
      <c r="J33" s="69" t="s">
        <v>887</v>
      </c>
    </row>
    <row r="34" spans="1:10" x14ac:dyDescent="0.3">
      <c r="A34" s="62">
        <v>44962</v>
      </c>
      <c r="B34" s="63" t="s">
        <v>920</v>
      </c>
      <c r="C34" s="64">
        <v>123456821</v>
      </c>
      <c r="D34" s="65" t="s">
        <v>82</v>
      </c>
      <c r="E34" s="53" t="s">
        <v>868</v>
      </c>
      <c r="F34" s="66">
        <v>919</v>
      </c>
      <c r="G34" s="67">
        <v>21</v>
      </c>
      <c r="H34" s="67">
        <v>19299</v>
      </c>
      <c r="I34" s="68">
        <v>123456789</v>
      </c>
      <c r="J34" s="69" t="s">
        <v>887</v>
      </c>
    </row>
    <row r="35" spans="1:10" x14ac:dyDescent="0.3">
      <c r="A35" s="62">
        <v>44963</v>
      </c>
      <c r="B35" s="63" t="s">
        <v>921</v>
      </c>
      <c r="C35" s="64">
        <v>123456822</v>
      </c>
      <c r="D35" s="70" t="s">
        <v>83</v>
      </c>
      <c r="E35" s="111" t="s">
        <v>868</v>
      </c>
      <c r="F35" s="66">
        <v>924</v>
      </c>
      <c r="G35" s="67">
        <v>29</v>
      </c>
      <c r="H35" s="67">
        <v>26796</v>
      </c>
      <c r="I35" s="68">
        <v>123456789</v>
      </c>
      <c r="J35" s="69" t="s">
        <v>887</v>
      </c>
    </row>
    <row r="36" spans="1:10" x14ac:dyDescent="0.3">
      <c r="A36" s="62">
        <v>44964</v>
      </c>
      <c r="B36" s="63" t="s">
        <v>922</v>
      </c>
      <c r="C36" s="64">
        <v>123456823</v>
      </c>
      <c r="D36" s="65" t="s">
        <v>84</v>
      </c>
      <c r="E36" s="53" t="s">
        <v>869</v>
      </c>
      <c r="F36" s="66">
        <v>716</v>
      </c>
      <c r="G36" s="67">
        <v>30</v>
      </c>
      <c r="H36" s="67">
        <v>21480</v>
      </c>
      <c r="I36" s="68">
        <v>123456789</v>
      </c>
      <c r="J36" s="69" t="s">
        <v>887</v>
      </c>
    </row>
    <row r="37" spans="1:10" x14ac:dyDescent="0.3">
      <c r="A37" s="62">
        <v>44965</v>
      </c>
      <c r="B37" s="63" t="s">
        <v>923</v>
      </c>
      <c r="C37" s="64">
        <v>123456824</v>
      </c>
      <c r="D37" s="70" t="s">
        <v>85</v>
      </c>
      <c r="E37" s="111" t="s">
        <v>868</v>
      </c>
      <c r="F37" s="66">
        <v>820</v>
      </c>
      <c r="G37" s="67">
        <v>28</v>
      </c>
      <c r="H37" s="67">
        <v>22960</v>
      </c>
      <c r="I37" s="68">
        <v>123456789</v>
      </c>
      <c r="J37" s="69" t="s">
        <v>887</v>
      </c>
    </row>
    <row r="38" spans="1:10" x14ac:dyDescent="0.3">
      <c r="A38" s="62">
        <v>44966</v>
      </c>
      <c r="B38" s="63" t="s">
        <v>924</v>
      </c>
      <c r="C38" s="64">
        <v>123456825</v>
      </c>
      <c r="D38" s="65" t="s">
        <v>86</v>
      </c>
      <c r="E38" s="53" t="s">
        <v>868</v>
      </c>
      <c r="F38" s="66">
        <v>993</v>
      </c>
      <c r="G38" s="67">
        <v>31</v>
      </c>
      <c r="H38" s="67">
        <v>30783</v>
      </c>
      <c r="I38" s="68">
        <v>123456789</v>
      </c>
      <c r="J38" s="69" t="s">
        <v>889</v>
      </c>
    </row>
    <row r="39" spans="1:10" x14ac:dyDescent="0.3">
      <c r="A39" s="62">
        <v>44967</v>
      </c>
      <c r="B39" s="63" t="s">
        <v>925</v>
      </c>
      <c r="C39" s="64">
        <v>123456826</v>
      </c>
      <c r="D39" s="70" t="s">
        <v>87</v>
      </c>
      <c r="E39" s="111" t="s">
        <v>868</v>
      </c>
      <c r="F39" s="66">
        <v>857</v>
      </c>
      <c r="G39" s="67">
        <v>25</v>
      </c>
      <c r="H39" s="67">
        <v>21425</v>
      </c>
      <c r="I39" s="68">
        <v>123456789</v>
      </c>
      <c r="J39" s="69" t="s">
        <v>889</v>
      </c>
    </row>
    <row r="40" spans="1:10" x14ac:dyDescent="0.3">
      <c r="A40" s="62">
        <v>44968</v>
      </c>
      <c r="B40" s="63" t="s">
        <v>926</v>
      </c>
      <c r="C40" s="64">
        <v>123456827</v>
      </c>
      <c r="D40" s="65" t="s">
        <v>88</v>
      </c>
      <c r="E40" s="53" t="s">
        <v>868</v>
      </c>
      <c r="F40" s="66">
        <v>643</v>
      </c>
      <c r="G40" s="67">
        <v>28</v>
      </c>
      <c r="H40" s="67">
        <v>18004</v>
      </c>
      <c r="I40" s="68">
        <v>123456789</v>
      </c>
      <c r="J40" s="69" t="s">
        <v>887</v>
      </c>
    </row>
    <row r="41" spans="1:10" x14ac:dyDescent="0.3">
      <c r="A41" s="62">
        <v>44969</v>
      </c>
      <c r="B41" s="63" t="s">
        <v>927</v>
      </c>
      <c r="C41" s="64">
        <v>123456828</v>
      </c>
      <c r="D41" s="70" t="s">
        <v>89</v>
      </c>
      <c r="E41" s="111" t="s">
        <v>868</v>
      </c>
      <c r="F41" s="66">
        <v>548</v>
      </c>
      <c r="G41" s="67">
        <v>28</v>
      </c>
      <c r="H41" s="67">
        <v>15344</v>
      </c>
      <c r="I41" s="68">
        <v>123456789</v>
      </c>
      <c r="J41" s="69" t="s">
        <v>887</v>
      </c>
    </row>
    <row r="42" spans="1:10" x14ac:dyDescent="0.3">
      <c r="A42" s="62">
        <v>44970</v>
      </c>
      <c r="B42" s="63" t="s">
        <v>928</v>
      </c>
      <c r="C42" s="64">
        <v>123456829</v>
      </c>
      <c r="D42" s="65" t="s">
        <v>90</v>
      </c>
      <c r="E42" s="53" t="s">
        <v>868</v>
      </c>
      <c r="F42" s="66">
        <v>602</v>
      </c>
      <c r="G42" s="67">
        <v>21</v>
      </c>
      <c r="H42" s="67">
        <v>12642</v>
      </c>
      <c r="I42" s="68">
        <v>123456789</v>
      </c>
      <c r="J42" s="69" t="s">
        <v>887</v>
      </c>
    </row>
    <row r="43" spans="1:10" x14ac:dyDescent="0.3">
      <c r="A43" s="62">
        <v>44971</v>
      </c>
      <c r="B43" s="63" t="s">
        <v>929</v>
      </c>
      <c r="C43" s="64">
        <v>123456830</v>
      </c>
      <c r="D43" s="70" t="s">
        <v>91</v>
      </c>
      <c r="E43" s="111" t="s">
        <v>868</v>
      </c>
      <c r="F43" s="66">
        <v>717</v>
      </c>
      <c r="G43" s="67">
        <v>28</v>
      </c>
      <c r="H43" s="67">
        <v>20076</v>
      </c>
      <c r="I43" s="68">
        <v>123456789</v>
      </c>
      <c r="J43" s="69" t="s">
        <v>887</v>
      </c>
    </row>
    <row r="44" spans="1:10" x14ac:dyDescent="0.3">
      <c r="A44" s="62">
        <v>44972</v>
      </c>
      <c r="B44" s="63" t="s">
        <v>930</v>
      </c>
      <c r="C44" s="64">
        <v>123456831</v>
      </c>
      <c r="D44" s="65" t="s">
        <v>92</v>
      </c>
      <c r="E44" s="53" t="s">
        <v>868</v>
      </c>
      <c r="F44" s="66">
        <v>551</v>
      </c>
      <c r="G44" s="67">
        <v>23</v>
      </c>
      <c r="H44" s="67">
        <v>12673</v>
      </c>
      <c r="I44" s="68">
        <v>123456789</v>
      </c>
      <c r="J44" s="69" t="s">
        <v>887</v>
      </c>
    </row>
    <row r="45" spans="1:10" x14ac:dyDescent="0.3">
      <c r="A45" s="62">
        <v>44973</v>
      </c>
      <c r="B45" s="63" t="s">
        <v>931</v>
      </c>
      <c r="C45" s="64">
        <v>123456832</v>
      </c>
      <c r="D45" s="70" t="s">
        <v>93</v>
      </c>
      <c r="E45" s="111" t="s">
        <v>869</v>
      </c>
      <c r="F45" s="66">
        <v>951</v>
      </c>
      <c r="G45" s="67">
        <v>22</v>
      </c>
      <c r="H45" s="67">
        <v>20922</v>
      </c>
      <c r="I45" s="68">
        <v>123456789</v>
      </c>
      <c r="J45" s="69" t="s">
        <v>887</v>
      </c>
    </row>
    <row r="46" spans="1:10" x14ac:dyDescent="0.3">
      <c r="A46" s="62">
        <v>44974</v>
      </c>
      <c r="B46" s="63" t="s">
        <v>932</v>
      </c>
      <c r="C46" s="64">
        <v>123456833</v>
      </c>
      <c r="D46" s="65" t="s">
        <v>94</v>
      </c>
      <c r="E46" s="53" t="s">
        <v>868</v>
      </c>
      <c r="F46" s="66">
        <v>812</v>
      </c>
      <c r="G46" s="67">
        <v>28</v>
      </c>
      <c r="H46" s="67">
        <v>22736</v>
      </c>
      <c r="I46" s="68">
        <v>123456789</v>
      </c>
      <c r="J46" s="69" t="s">
        <v>887</v>
      </c>
    </row>
    <row r="47" spans="1:10" x14ac:dyDescent="0.3">
      <c r="A47" s="62">
        <v>44975</v>
      </c>
      <c r="B47" s="63" t="s">
        <v>933</v>
      </c>
      <c r="C47" s="64">
        <v>123456834</v>
      </c>
      <c r="D47" s="70" t="s">
        <v>95</v>
      </c>
      <c r="E47" s="111" t="s">
        <v>868</v>
      </c>
      <c r="F47" s="66">
        <v>839</v>
      </c>
      <c r="G47" s="67">
        <v>22</v>
      </c>
      <c r="H47" s="67">
        <v>18458</v>
      </c>
      <c r="I47" s="68">
        <v>123456789</v>
      </c>
      <c r="J47" s="69" t="s">
        <v>887</v>
      </c>
    </row>
    <row r="48" spans="1:10" x14ac:dyDescent="0.3">
      <c r="A48" s="62">
        <v>44976</v>
      </c>
      <c r="B48" s="63" t="s">
        <v>934</v>
      </c>
      <c r="C48" s="64">
        <v>123456835</v>
      </c>
      <c r="D48" s="65" t="s">
        <v>96</v>
      </c>
      <c r="E48" s="53" t="s">
        <v>869</v>
      </c>
      <c r="F48" s="66">
        <v>586</v>
      </c>
      <c r="G48" s="67">
        <v>25</v>
      </c>
      <c r="H48" s="67">
        <v>14650</v>
      </c>
      <c r="I48" s="68">
        <v>123456789</v>
      </c>
      <c r="J48" s="69" t="s">
        <v>887</v>
      </c>
    </row>
    <row r="49" spans="1:10" x14ac:dyDescent="0.3">
      <c r="A49" s="62">
        <v>44977</v>
      </c>
      <c r="B49" s="63" t="s">
        <v>935</v>
      </c>
      <c r="C49" s="64">
        <v>123456836</v>
      </c>
      <c r="D49" s="70" t="s">
        <v>97</v>
      </c>
      <c r="E49" s="111" t="s">
        <v>869</v>
      </c>
      <c r="F49" s="66">
        <v>562</v>
      </c>
      <c r="G49" s="67">
        <v>28</v>
      </c>
      <c r="H49" s="67">
        <v>15736</v>
      </c>
      <c r="I49" s="68">
        <v>123456789</v>
      </c>
      <c r="J49" s="69" t="s">
        <v>887</v>
      </c>
    </row>
    <row r="50" spans="1:10" x14ac:dyDescent="0.3">
      <c r="A50" s="62">
        <v>44978</v>
      </c>
      <c r="B50" s="63" t="s">
        <v>936</v>
      </c>
      <c r="C50" s="64">
        <v>123456837</v>
      </c>
      <c r="D50" s="65" t="s">
        <v>98</v>
      </c>
      <c r="E50" s="53" t="s">
        <v>869</v>
      </c>
      <c r="F50" s="66">
        <v>623</v>
      </c>
      <c r="G50" s="67">
        <v>26</v>
      </c>
      <c r="H50" s="67">
        <v>16198</v>
      </c>
      <c r="I50" s="68">
        <v>123456789</v>
      </c>
      <c r="J50" s="69" t="s">
        <v>887</v>
      </c>
    </row>
    <row r="51" spans="1:10" x14ac:dyDescent="0.3">
      <c r="A51" s="62">
        <v>44979</v>
      </c>
      <c r="B51" s="63" t="s">
        <v>937</v>
      </c>
      <c r="C51" s="64">
        <v>123456838</v>
      </c>
      <c r="D51" s="70" t="s">
        <v>99</v>
      </c>
      <c r="E51" s="111" t="s">
        <v>868</v>
      </c>
      <c r="F51" s="66">
        <v>989</v>
      </c>
      <c r="G51" s="67">
        <v>25</v>
      </c>
      <c r="H51" s="67">
        <v>24725</v>
      </c>
      <c r="I51" s="68">
        <v>123456789</v>
      </c>
      <c r="J51" s="69" t="s">
        <v>887</v>
      </c>
    </row>
    <row r="52" spans="1:10" x14ac:dyDescent="0.3">
      <c r="A52" s="62">
        <v>44980</v>
      </c>
      <c r="B52" s="63" t="s">
        <v>938</v>
      </c>
      <c r="C52" s="64">
        <v>123456839</v>
      </c>
      <c r="D52" s="65" t="s">
        <v>100</v>
      </c>
      <c r="E52" s="53" t="s">
        <v>868</v>
      </c>
      <c r="F52" s="66">
        <v>886</v>
      </c>
      <c r="G52" s="67">
        <v>22</v>
      </c>
      <c r="H52" s="67">
        <v>19492</v>
      </c>
      <c r="I52" s="68">
        <v>123456789</v>
      </c>
      <c r="J52" s="69" t="s">
        <v>887</v>
      </c>
    </row>
    <row r="53" spans="1:10" x14ac:dyDescent="0.3">
      <c r="A53" s="62">
        <v>44981</v>
      </c>
      <c r="B53" s="63" t="s">
        <v>939</v>
      </c>
      <c r="C53" s="64">
        <v>123456840</v>
      </c>
      <c r="D53" s="70" t="s">
        <v>101</v>
      </c>
      <c r="E53" s="111" t="s">
        <v>868</v>
      </c>
      <c r="F53" s="66">
        <v>756</v>
      </c>
      <c r="G53" s="67">
        <v>25</v>
      </c>
      <c r="H53" s="67">
        <v>18900</v>
      </c>
      <c r="I53" s="68">
        <v>123456789</v>
      </c>
      <c r="J53" s="69" t="s">
        <v>887</v>
      </c>
    </row>
    <row r="54" spans="1:10" x14ac:dyDescent="0.3">
      <c r="A54" s="62">
        <v>44982</v>
      </c>
      <c r="B54" s="63" t="s">
        <v>940</v>
      </c>
      <c r="C54" s="64">
        <v>123456841</v>
      </c>
      <c r="D54" s="65" t="s">
        <v>102</v>
      </c>
      <c r="E54" s="53" t="s">
        <v>868</v>
      </c>
      <c r="F54" s="66">
        <v>887</v>
      </c>
      <c r="G54" s="67">
        <v>22</v>
      </c>
      <c r="H54" s="67">
        <v>19514</v>
      </c>
      <c r="I54" s="68">
        <v>123456789</v>
      </c>
      <c r="J54" s="69" t="s">
        <v>887</v>
      </c>
    </row>
    <row r="55" spans="1:10" x14ac:dyDescent="0.3">
      <c r="A55" s="62">
        <v>44983</v>
      </c>
      <c r="B55" s="63" t="s">
        <v>941</v>
      </c>
      <c r="C55" s="64">
        <v>123456842</v>
      </c>
      <c r="D55" s="70" t="s">
        <v>103</v>
      </c>
      <c r="E55" s="111" t="s">
        <v>868</v>
      </c>
      <c r="F55" s="66">
        <v>946</v>
      </c>
      <c r="G55" s="67">
        <v>25</v>
      </c>
      <c r="H55" s="67">
        <v>23650</v>
      </c>
      <c r="I55" s="68">
        <v>123456789</v>
      </c>
      <c r="J55" s="69" t="s">
        <v>889</v>
      </c>
    </row>
    <row r="56" spans="1:10" x14ac:dyDescent="0.3">
      <c r="A56" s="62">
        <v>44984</v>
      </c>
      <c r="B56" s="63" t="s">
        <v>942</v>
      </c>
      <c r="C56" s="64">
        <v>123456843</v>
      </c>
      <c r="D56" s="65" t="s">
        <v>104</v>
      </c>
      <c r="E56" s="53" t="s">
        <v>868</v>
      </c>
      <c r="F56" s="66">
        <v>761</v>
      </c>
      <c r="G56" s="67">
        <v>29</v>
      </c>
      <c r="H56" s="67">
        <v>22069</v>
      </c>
      <c r="I56" s="68">
        <v>123456789</v>
      </c>
      <c r="J56" s="69" t="s">
        <v>889</v>
      </c>
    </row>
    <row r="57" spans="1:10" x14ac:dyDescent="0.3">
      <c r="A57" s="62">
        <v>44985</v>
      </c>
      <c r="B57" s="63" t="s">
        <v>943</v>
      </c>
      <c r="C57" s="64">
        <v>123456844</v>
      </c>
      <c r="D57" s="70" t="s">
        <v>105</v>
      </c>
      <c r="E57" s="111" t="s">
        <v>868</v>
      </c>
      <c r="F57" s="66">
        <v>811</v>
      </c>
      <c r="G57" s="67">
        <v>27</v>
      </c>
      <c r="H57" s="67">
        <v>21897</v>
      </c>
      <c r="I57" s="68">
        <v>123456789</v>
      </c>
      <c r="J57" s="69" t="s">
        <v>887</v>
      </c>
    </row>
    <row r="58" spans="1:10" x14ac:dyDescent="0.3">
      <c r="A58" s="62">
        <v>44986</v>
      </c>
      <c r="B58" s="63" t="s">
        <v>944</v>
      </c>
      <c r="C58" s="64">
        <v>123456845</v>
      </c>
      <c r="D58" s="65" t="s">
        <v>106</v>
      </c>
      <c r="E58" s="53" t="s">
        <v>868</v>
      </c>
      <c r="F58" s="66">
        <v>673</v>
      </c>
      <c r="G58" s="67">
        <v>24</v>
      </c>
      <c r="H58" s="67">
        <v>16152</v>
      </c>
      <c r="I58" s="68">
        <v>123456789</v>
      </c>
      <c r="J58" s="69" t="s">
        <v>887</v>
      </c>
    </row>
    <row r="59" spans="1:10" x14ac:dyDescent="0.3">
      <c r="A59" s="62">
        <v>44987</v>
      </c>
      <c r="B59" s="63" t="s">
        <v>945</v>
      </c>
      <c r="C59" s="64">
        <v>123456846</v>
      </c>
      <c r="D59" s="70" t="s">
        <v>107</v>
      </c>
      <c r="E59" s="111" t="s">
        <v>868</v>
      </c>
      <c r="F59" s="66">
        <v>881</v>
      </c>
      <c r="G59" s="67">
        <v>30</v>
      </c>
      <c r="H59" s="67">
        <v>26430</v>
      </c>
      <c r="I59" s="68">
        <v>123456789</v>
      </c>
      <c r="J59" s="69" t="s">
        <v>889</v>
      </c>
    </row>
    <row r="60" spans="1:10" x14ac:dyDescent="0.3">
      <c r="A60" s="62">
        <v>44988</v>
      </c>
      <c r="B60" s="63" t="s">
        <v>946</v>
      </c>
      <c r="C60" s="64">
        <v>123456847</v>
      </c>
      <c r="D60" s="65" t="s">
        <v>108</v>
      </c>
      <c r="E60" s="53" t="s">
        <v>868</v>
      </c>
      <c r="F60" s="66">
        <v>564</v>
      </c>
      <c r="G60" s="67">
        <v>26</v>
      </c>
      <c r="H60" s="67">
        <v>14664</v>
      </c>
      <c r="I60" s="68">
        <v>123456789</v>
      </c>
      <c r="J60" s="69" t="s">
        <v>887</v>
      </c>
    </row>
    <row r="61" spans="1:10" x14ac:dyDescent="0.3">
      <c r="A61" s="62">
        <v>44989</v>
      </c>
      <c r="B61" s="63" t="s">
        <v>947</v>
      </c>
      <c r="C61" s="64">
        <v>123456848</v>
      </c>
      <c r="D61" s="70" t="s">
        <v>109</v>
      </c>
      <c r="E61" s="111" t="s">
        <v>868</v>
      </c>
      <c r="F61" s="66">
        <v>534</v>
      </c>
      <c r="G61" s="67">
        <v>22</v>
      </c>
      <c r="H61" s="67">
        <v>11748</v>
      </c>
      <c r="I61" s="68">
        <v>123456789</v>
      </c>
      <c r="J61" s="69" t="s">
        <v>887</v>
      </c>
    </row>
    <row r="62" spans="1:10" x14ac:dyDescent="0.3">
      <c r="A62" s="62">
        <v>44990</v>
      </c>
      <c r="B62" s="63" t="s">
        <v>948</v>
      </c>
      <c r="C62" s="64">
        <v>123456849</v>
      </c>
      <c r="D62" s="65" t="s">
        <v>110</v>
      </c>
      <c r="E62" s="53" t="s">
        <v>868</v>
      </c>
      <c r="F62" s="66">
        <v>743</v>
      </c>
      <c r="G62" s="67">
        <v>24</v>
      </c>
      <c r="H62" s="67">
        <v>17832</v>
      </c>
      <c r="I62" s="68">
        <v>123456789</v>
      </c>
      <c r="J62" s="69" t="s">
        <v>887</v>
      </c>
    </row>
    <row r="63" spans="1:10" x14ac:dyDescent="0.3">
      <c r="A63" s="62">
        <v>44991</v>
      </c>
      <c r="B63" s="63" t="s">
        <v>949</v>
      </c>
      <c r="C63" s="64">
        <v>123456850</v>
      </c>
      <c r="D63" s="70" t="s">
        <v>111</v>
      </c>
      <c r="E63" s="111" t="s">
        <v>868</v>
      </c>
      <c r="F63" s="66">
        <v>855</v>
      </c>
      <c r="G63" s="67">
        <v>31</v>
      </c>
      <c r="H63" s="67">
        <v>26505</v>
      </c>
      <c r="I63" s="68">
        <v>123456789</v>
      </c>
      <c r="J63" s="69" t="s">
        <v>887</v>
      </c>
    </row>
    <row r="64" spans="1:10" x14ac:dyDescent="0.3">
      <c r="A64" s="62">
        <v>44992</v>
      </c>
      <c r="B64" s="63" t="s">
        <v>950</v>
      </c>
      <c r="C64" s="64">
        <v>123456851</v>
      </c>
      <c r="D64" s="65" t="s">
        <v>112</v>
      </c>
      <c r="E64" s="53" t="s">
        <v>868</v>
      </c>
      <c r="F64" s="66">
        <v>745</v>
      </c>
      <c r="G64" s="67">
        <v>29</v>
      </c>
      <c r="H64" s="67">
        <v>21605</v>
      </c>
      <c r="I64" s="68">
        <v>123456789</v>
      </c>
      <c r="J64" s="69" t="s">
        <v>887</v>
      </c>
    </row>
    <row r="65" spans="1:10" x14ac:dyDescent="0.3">
      <c r="A65" s="62">
        <v>44993</v>
      </c>
      <c r="B65" s="63" t="s">
        <v>951</v>
      </c>
      <c r="C65" s="64">
        <v>123456852</v>
      </c>
      <c r="D65" s="70" t="s">
        <v>113</v>
      </c>
      <c r="E65" s="111" t="s">
        <v>868</v>
      </c>
      <c r="F65" s="66">
        <v>814</v>
      </c>
      <c r="G65" s="67">
        <v>23</v>
      </c>
      <c r="H65" s="67">
        <v>18722</v>
      </c>
      <c r="I65" s="68">
        <v>123456789</v>
      </c>
      <c r="J65" s="69" t="s">
        <v>887</v>
      </c>
    </row>
    <row r="66" spans="1:10" x14ac:dyDescent="0.3">
      <c r="A66" s="62">
        <v>44994</v>
      </c>
      <c r="B66" s="63" t="s">
        <v>952</v>
      </c>
      <c r="C66" s="64">
        <v>123456853</v>
      </c>
      <c r="D66" s="65" t="s">
        <v>114</v>
      </c>
      <c r="E66" s="53" t="s">
        <v>868</v>
      </c>
      <c r="F66" s="66">
        <v>596</v>
      </c>
      <c r="G66" s="67">
        <v>24</v>
      </c>
      <c r="H66" s="67">
        <v>14304</v>
      </c>
      <c r="I66" s="68">
        <v>123456789</v>
      </c>
      <c r="J66" s="69" t="s">
        <v>889</v>
      </c>
    </row>
    <row r="67" spans="1:10" x14ac:dyDescent="0.3">
      <c r="A67" s="62">
        <v>44995</v>
      </c>
      <c r="B67" s="63" t="s">
        <v>953</v>
      </c>
      <c r="C67" s="64">
        <v>123456854</v>
      </c>
      <c r="D67" s="70" t="s">
        <v>115</v>
      </c>
      <c r="E67" s="111" t="s">
        <v>868</v>
      </c>
      <c r="F67" s="66">
        <v>600</v>
      </c>
      <c r="G67" s="67">
        <v>23</v>
      </c>
      <c r="H67" s="67">
        <v>13800</v>
      </c>
      <c r="I67" s="68">
        <v>123456789</v>
      </c>
      <c r="J67" s="69" t="s">
        <v>887</v>
      </c>
    </row>
    <row r="68" spans="1:10" x14ac:dyDescent="0.3">
      <c r="A68" s="62">
        <v>44996</v>
      </c>
      <c r="B68" s="63" t="s">
        <v>954</v>
      </c>
      <c r="C68" s="64">
        <v>123456855</v>
      </c>
      <c r="D68" s="65" t="s">
        <v>116</v>
      </c>
      <c r="E68" s="53" t="s">
        <v>868</v>
      </c>
      <c r="F68" s="66">
        <v>559</v>
      </c>
      <c r="G68" s="67">
        <v>25</v>
      </c>
      <c r="H68" s="67">
        <v>13975</v>
      </c>
      <c r="I68" s="68">
        <v>123456789</v>
      </c>
      <c r="J68" s="69" t="s">
        <v>887</v>
      </c>
    </row>
    <row r="69" spans="1:10" x14ac:dyDescent="0.3">
      <c r="A69" s="62">
        <v>44997</v>
      </c>
      <c r="B69" s="63" t="s">
        <v>955</v>
      </c>
      <c r="C69" s="64">
        <v>123456856</v>
      </c>
      <c r="D69" s="70" t="s">
        <v>117</v>
      </c>
      <c r="E69" s="111" t="s">
        <v>868</v>
      </c>
      <c r="F69" s="66">
        <v>525</v>
      </c>
      <c r="G69" s="67">
        <v>27</v>
      </c>
      <c r="H69" s="67">
        <v>14175</v>
      </c>
      <c r="I69" s="68">
        <v>123456789</v>
      </c>
      <c r="J69" s="69" t="s">
        <v>887</v>
      </c>
    </row>
    <row r="70" spans="1:10" x14ac:dyDescent="0.3">
      <c r="A70" s="62">
        <v>44998</v>
      </c>
      <c r="B70" s="63" t="s">
        <v>956</v>
      </c>
      <c r="C70" s="64">
        <v>123456857</v>
      </c>
      <c r="D70" s="65" t="s">
        <v>118</v>
      </c>
      <c r="E70" s="53" t="s">
        <v>868</v>
      </c>
      <c r="F70" s="66">
        <v>515</v>
      </c>
      <c r="G70" s="67">
        <v>23</v>
      </c>
      <c r="H70" s="67">
        <v>11845</v>
      </c>
      <c r="I70" s="68">
        <v>123456789</v>
      </c>
      <c r="J70" s="69" t="s">
        <v>889</v>
      </c>
    </row>
    <row r="71" spans="1:10" x14ac:dyDescent="0.3">
      <c r="A71" s="62">
        <v>44999</v>
      </c>
      <c r="B71" s="63" t="s">
        <v>957</v>
      </c>
      <c r="C71" s="64">
        <v>123456858</v>
      </c>
      <c r="D71" s="70" t="s">
        <v>119</v>
      </c>
      <c r="E71" s="111" t="s">
        <v>869</v>
      </c>
      <c r="F71" s="66">
        <v>994</v>
      </c>
      <c r="G71" s="67">
        <v>31</v>
      </c>
      <c r="H71" s="67">
        <v>30814</v>
      </c>
      <c r="I71" s="68">
        <v>123456789</v>
      </c>
      <c r="J71" s="69" t="s">
        <v>889</v>
      </c>
    </row>
    <row r="72" spans="1:10" x14ac:dyDescent="0.3">
      <c r="A72" s="62">
        <v>45000</v>
      </c>
      <c r="B72" s="63" t="s">
        <v>958</v>
      </c>
      <c r="C72" s="64">
        <v>123456859</v>
      </c>
      <c r="D72" s="65" t="s">
        <v>120</v>
      </c>
      <c r="E72" s="53" t="s">
        <v>868</v>
      </c>
      <c r="F72" s="66">
        <v>612</v>
      </c>
      <c r="G72" s="67">
        <v>30</v>
      </c>
      <c r="H72" s="67">
        <v>18360</v>
      </c>
      <c r="I72" s="68">
        <v>123456789</v>
      </c>
      <c r="J72" s="69" t="s">
        <v>887</v>
      </c>
    </row>
    <row r="73" spans="1:10" x14ac:dyDescent="0.3">
      <c r="A73" s="62">
        <v>45001</v>
      </c>
      <c r="B73" s="63" t="s">
        <v>959</v>
      </c>
      <c r="C73" s="64">
        <v>123456860</v>
      </c>
      <c r="D73" s="70" t="s">
        <v>121</v>
      </c>
      <c r="E73" s="111" t="s">
        <v>868</v>
      </c>
      <c r="F73" s="66">
        <v>600</v>
      </c>
      <c r="G73" s="67">
        <v>24</v>
      </c>
      <c r="H73" s="67">
        <v>14400</v>
      </c>
      <c r="I73" s="68">
        <v>123456789</v>
      </c>
      <c r="J73" s="69" t="s">
        <v>887</v>
      </c>
    </row>
    <row r="74" spans="1:10" x14ac:dyDescent="0.3">
      <c r="A74" s="62">
        <v>45002</v>
      </c>
      <c r="B74" s="63" t="s">
        <v>960</v>
      </c>
      <c r="C74" s="64">
        <v>123456861</v>
      </c>
      <c r="D74" s="65" t="s">
        <v>122</v>
      </c>
      <c r="E74" s="53" t="s">
        <v>869</v>
      </c>
      <c r="F74" s="66">
        <v>796</v>
      </c>
      <c r="G74" s="67">
        <v>27</v>
      </c>
      <c r="H74" s="67">
        <v>21492</v>
      </c>
      <c r="I74" s="68">
        <v>123456789</v>
      </c>
      <c r="J74" s="69" t="s">
        <v>887</v>
      </c>
    </row>
    <row r="75" spans="1:10" x14ac:dyDescent="0.3">
      <c r="A75" s="62">
        <v>45003</v>
      </c>
      <c r="B75" s="63" t="s">
        <v>961</v>
      </c>
      <c r="C75" s="64">
        <v>123456862</v>
      </c>
      <c r="D75" s="70" t="s">
        <v>123</v>
      </c>
      <c r="E75" s="111" t="s">
        <v>868</v>
      </c>
      <c r="F75" s="66">
        <v>646</v>
      </c>
      <c r="G75" s="67">
        <v>28</v>
      </c>
      <c r="H75" s="67">
        <v>18088</v>
      </c>
      <c r="I75" s="68">
        <v>123456789</v>
      </c>
      <c r="J75" s="69" t="s">
        <v>887</v>
      </c>
    </row>
    <row r="76" spans="1:10" x14ac:dyDescent="0.3">
      <c r="A76" s="62">
        <v>45004</v>
      </c>
      <c r="B76" s="63" t="s">
        <v>962</v>
      </c>
      <c r="C76" s="64">
        <v>123456863</v>
      </c>
      <c r="D76" s="65" t="s">
        <v>124</v>
      </c>
      <c r="E76" s="53" t="s">
        <v>868</v>
      </c>
      <c r="F76" s="66">
        <v>904</v>
      </c>
      <c r="G76" s="67">
        <v>28</v>
      </c>
      <c r="H76" s="67">
        <v>25312</v>
      </c>
      <c r="I76" s="68">
        <v>123456789</v>
      </c>
      <c r="J76" s="69" t="s">
        <v>887</v>
      </c>
    </row>
    <row r="77" spans="1:10" x14ac:dyDescent="0.3">
      <c r="A77" s="62">
        <v>45005</v>
      </c>
      <c r="B77" s="63" t="s">
        <v>963</v>
      </c>
      <c r="C77" s="64">
        <v>123456864</v>
      </c>
      <c r="D77" s="70" t="s">
        <v>125</v>
      </c>
      <c r="E77" s="111" t="s">
        <v>868</v>
      </c>
      <c r="F77" s="66">
        <v>658</v>
      </c>
      <c r="G77" s="67">
        <v>24</v>
      </c>
      <c r="H77" s="67">
        <v>15792</v>
      </c>
      <c r="I77" s="68">
        <v>123456789</v>
      </c>
      <c r="J77" s="69" t="s">
        <v>887</v>
      </c>
    </row>
    <row r="78" spans="1:10" x14ac:dyDescent="0.3">
      <c r="A78" s="62">
        <v>45006</v>
      </c>
      <c r="B78" s="63" t="s">
        <v>964</v>
      </c>
      <c r="C78" s="64">
        <v>123456865</v>
      </c>
      <c r="D78" s="65" t="s">
        <v>126</v>
      </c>
      <c r="E78" s="53" t="s">
        <v>868</v>
      </c>
      <c r="F78" s="66">
        <v>579</v>
      </c>
      <c r="G78" s="67">
        <v>31</v>
      </c>
      <c r="H78" s="67">
        <v>17949</v>
      </c>
      <c r="I78" s="68">
        <v>123456789</v>
      </c>
      <c r="J78" s="69" t="s">
        <v>889</v>
      </c>
    </row>
    <row r="79" spans="1:10" x14ac:dyDescent="0.3">
      <c r="A79" s="62">
        <v>45007</v>
      </c>
      <c r="B79" s="63" t="s">
        <v>965</v>
      </c>
      <c r="C79" s="64">
        <v>123456866</v>
      </c>
      <c r="D79" s="70" t="s">
        <v>127</v>
      </c>
      <c r="E79" s="111" t="s">
        <v>869</v>
      </c>
      <c r="F79" s="66">
        <v>850</v>
      </c>
      <c r="G79" s="67">
        <v>27</v>
      </c>
      <c r="H79" s="67">
        <v>22950</v>
      </c>
      <c r="I79" s="68">
        <v>123456789</v>
      </c>
      <c r="J79" s="69" t="s">
        <v>887</v>
      </c>
    </row>
    <row r="80" spans="1:10" x14ac:dyDescent="0.3">
      <c r="A80" s="62">
        <v>45008</v>
      </c>
      <c r="B80" s="63" t="s">
        <v>966</v>
      </c>
      <c r="C80" s="64">
        <v>123456867</v>
      </c>
      <c r="D80" s="65" t="s">
        <v>128</v>
      </c>
      <c r="E80" s="53" t="s">
        <v>868</v>
      </c>
      <c r="F80" s="66">
        <v>760</v>
      </c>
      <c r="G80" s="67">
        <v>21</v>
      </c>
      <c r="H80" s="67">
        <v>15960</v>
      </c>
      <c r="I80" s="68">
        <v>123456789</v>
      </c>
      <c r="J80" s="69" t="s">
        <v>887</v>
      </c>
    </row>
    <row r="81" spans="1:10" x14ac:dyDescent="0.3">
      <c r="A81" s="62">
        <v>45009</v>
      </c>
      <c r="B81" s="63" t="s">
        <v>967</v>
      </c>
      <c r="C81" s="64">
        <v>123456868</v>
      </c>
      <c r="D81" s="70" t="s">
        <v>129</v>
      </c>
      <c r="E81" s="111" t="s">
        <v>868</v>
      </c>
      <c r="F81" s="66">
        <v>826</v>
      </c>
      <c r="G81" s="67">
        <v>30</v>
      </c>
      <c r="H81" s="67">
        <v>24780</v>
      </c>
      <c r="I81" s="68">
        <v>123456789</v>
      </c>
      <c r="J81" s="69" t="s">
        <v>889</v>
      </c>
    </row>
    <row r="82" spans="1:10" x14ac:dyDescent="0.3">
      <c r="A82" s="62">
        <v>45010</v>
      </c>
      <c r="B82" s="63" t="s">
        <v>968</v>
      </c>
      <c r="C82" s="64">
        <v>123456869</v>
      </c>
      <c r="D82" s="65" t="s">
        <v>130</v>
      </c>
      <c r="E82" s="53" t="s">
        <v>868</v>
      </c>
      <c r="F82" s="66">
        <v>996</v>
      </c>
      <c r="G82" s="67">
        <v>21</v>
      </c>
      <c r="H82" s="67">
        <v>20916</v>
      </c>
      <c r="I82" s="68">
        <v>123456789</v>
      </c>
      <c r="J82" s="69" t="s">
        <v>889</v>
      </c>
    </row>
    <row r="83" spans="1:10" x14ac:dyDescent="0.3">
      <c r="A83" s="62">
        <v>45011</v>
      </c>
      <c r="B83" s="63" t="s">
        <v>969</v>
      </c>
      <c r="C83" s="64">
        <v>123456870</v>
      </c>
      <c r="D83" s="70" t="s">
        <v>131</v>
      </c>
      <c r="E83" s="111" t="s">
        <v>868</v>
      </c>
      <c r="F83" s="66">
        <v>687</v>
      </c>
      <c r="G83" s="67">
        <v>23</v>
      </c>
      <c r="H83" s="67">
        <v>15801</v>
      </c>
      <c r="I83" s="68">
        <v>123456789</v>
      </c>
      <c r="J83" s="69" t="s">
        <v>887</v>
      </c>
    </row>
    <row r="84" spans="1:10" x14ac:dyDescent="0.3">
      <c r="A84" s="62">
        <v>45012</v>
      </c>
      <c r="B84" s="63" t="s">
        <v>970</v>
      </c>
      <c r="C84" s="64">
        <v>123456871</v>
      </c>
      <c r="D84" s="65" t="s">
        <v>132</v>
      </c>
      <c r="E84" s="53" t="s">
        <v>869</v>
      </c>
      <c r="F84" s="66">
        <v>801</v>
      </c>
      <c r="G84" s="67">
        <v>22</v>
      </c>
      <c r="H84" s="67">
        <v>17622</v>
      </c>
      <c r="I84" s="68">
        <v>123456789</v>
      </c>
      <c r="J84" s="69" t="s">
        <v>889</v>
      </c>
    </row>
    <row r="85" spans="1:10" x14ac:dyDescent="0.3">
      <c r="A85" s="62">
        <v>45013</v>
      </c>
      <c r="B85" s="63" t="s">
        <v>971</v>
      </c>
      <c r="C85" s="64">
        <v>123456872</v>
      </c>
      <c r="D85" s="70" t="s">
        <v>133</v>
      </c>
      <c r="E85" s="111" t="s">
        <v>868</v>
      </c>
      <c r="F85" s="66">
        <v>654</v>
      </c>
      <c r="G85" s="67">
        <v>28</v>
      </c>
      <c r="H85" s="67">
        <v>18312</v>
      </c>
      <c r="I85" s="68">
        <v>123456789</v>
      </c>
      <c r="J85" s="69" t="s">
        <v>887</v>
      </c>
    </row>
    <row r="86" spans="1:10" x14ac:dyDescent="0.3">
      <c r="A86" s="62">
        <v>45014</v>
      </c>
      <c r="B86" s="63" t="s">
        <v>972</v>
      </c>
      <c r="C86" s="64">
        <v>123456873</v>
      </c>
      <c r="D86" s="65" t="s">
        <v>134</v>
      </c>
      <c r="E86" s="53" t="s">
        <v>869</v>
      </c>
      <c r="F86" s="66">
        <v>861</v>
      </c>
      <c r="G86" s="67">
        <v>30</v>
      </c>
      <c r="H86" s="67">
        <v>25830</v>
      </c>
      <c r="I86" s="68">
        <v>123456789</v>
      </c>
      <c r="J86" s="69" t="s">
        <v>889</v>
      </c>
    </row>
    <row r="87" spans="1:10" x14ac:dyDescent="0.3">
      <c r="A87" s="62">
        <v>45015</v>
      </c>
      <c r="B87" s="63" t="s">
        <v>973</v>
      </c>
      <c r="C87" s="64">
        <v>123456874</v>
      </c>
      <c r="D87" s="70" t="s">
        <v>135</v>
      </c>
      <c r="E87" s="111" t="s">
        <v>868</v>
      </c>
      <c r="F87" s="66">
        <v>670</v>
      </c>
      <c r="G87" s="67">
        <v>26</v>
      </c>
      <c r="H87" s="67">
        <v>17420</v>
      </c>
      <c r="I87" s="68">
        <v>123456789</v>
      </c>
      <c r="J87" s="69" t="s">
        <v>887</v>
      </c>
    </row>
    <row r="88" spans="1:10" x14ac:dyDescent="0.3">
      <c r="A88" s="62">
        <v>45016</v>
      </c>
      <c r="B88" s="63" t="s">
        <v>974</v>
      </c>
      <c r="C88" s="64">
        <v>123456875</v>
      </c>
      <c r="D88" s="65" t="s">
        <v>136</v>
      </c>
      <c r="E88" s="53" t="s">
        <v>868</v>
      </c>
      <c r="F88" s="66">
        <v>679</v>
      </c>
      <c r="G88" s="67">
        <v>29</v>
      </c>
      <c r="H88" s="67">
        <v>19691</v>
      </c>
      <c r="I88" s="68">
        <v>123456789</v>
      </c>
      <c r="J88" s="69" t="s">
        <v>889</v>
      </c>
    </row>
    <row r="89" spans="1:10" x14ac:dyDescent="0.3">
      <c r="A89" s="62">
        <v>45017</v>
      </c>
      <c r="B89" s="63" t="s">
        <v>975</v>
      </c>
      <c r="C89" s="64">
        <v>123456876</v>
      </c>
      <c r="D89" s="70" t="s">
        <v>137</v>
      </c>
      <c r="E89" s="111" t="s">
        <v>868</v>
      </c>
      <c r="F89" s="66">
        <v>737</v>
      </c>
      <c r="G89" s="67">
        <v>28</v>
      </c>
      <c r="H89" s="67">
        <v>20636</v>
      </c>
      <c r="I89" s="68">
        <v>123456789</v>
      </c>
      <c r="J89" s="69" t="s">
        <v>887</v>
      </c>
    </row>
    <row r="90" spans="1:10" x14ac:dyDescent="0.3">
      <c r="A90" s="62">
        <v>45018</v>
      </c>
      <c r="B90" s="63" t="s">
        <v>976</v>
      </c>
      <c r="C90" s="64">
        <v>123456877</v>
      </c>
      <c r="D90" s="65" t="s">
        <v>138</v>
      </c>
      <c r="E90" s="53" t="s">
        <v>868</v>
      </c>
      <c r="F90" s="66">
        <v>875</v>
      </c>
      <c r="G90" s="67">
        <v>31</v>
      </c>
      <c r="H90" s="67">
        <v>27125</v>
      </c>
      <c r="I90" s="68">
        <v>123456789</v>
      </c>
      <c r="J90" s="69" t="s">
        <v>889</v>
      </c>
    </row>
    <row r="91" spans="1:10" x14ac:dyDescent="0.3">
      <c r="A91" s="62">
        <v>45019</v>
      </c>
      <c r="B91" s="63" t="s">
        <v>977</v>
      </c>
      <c r="C91" s="64">
        <v>123456878</v>
      </c>
      <c r="D91" s="70" t="s">
        <v>139</v>
      </c>
      <c r="E91" s="111" t="s">
        <v>868</v>
      </c>
      <c r="F91" s="66">
        <v>624</v>
      </c>
      <c r="G91" s="67">
        <v>21</v>
      </c>
      <c r="H91" s="67">
        <v>13104</v>
      </c>
      <c r="I91" s="68">
        <v>123456789</v>
      </c>
      <c r="J91" s="69" t="s">
        <v>887</v>
      </c>
    </row>
    <row r="92" spans="1:10" x14ac:dyDescent="0.3">
      <c r="A92" s="62">
        <v>45020</v>
      </c>
      <c r="B92" s="63" t="s">
        <v>978</v>
      </c>
      <c r="C92" s="64">
        <v>123456879</v>
      </c>
      <c r="D92" s="65" t="s">
        <v>140</v>
      </c>
      <c r="E92" s="53" t="s">
        <v>868</v>
      </c>
      <c r="F92" s="66">
        <v>965</v>
      </c>
      <c r="G92" s="67">
        <v>28</v>
      </c>
      <c r="H92" s="67">
        <v>27020</v>
      </c>
      <c r="I92" s="68">
        <v>123456789</v>
      </c>
      <c r="J92" s="69" t="s">
        <v>887</v>
      </c>
    </row>
    <row r="93" spans="1:10" x14ac:dyDescent="0.3">
      <c r="A93" s="62">
        <v>45021</v>
      </c>
      <c r="B93" s="63" t="s">
        <v>979</v>
      </c>
      <c r="C93" s="64">
        <v>123456880</v>
      </c>
      <c r="D93" s="70" t="s">
        <v>141</v>
      </c>
      <c r="E93" s="111" t="s">
        <v>868</v>
      </c>
      <c r="F93" s="66">
        <v>905</v>
      </c>
      <c r="G93" s="67">
        <v>25</v>
      </c>
      <c r="H93" s="67">
        <v>22625</v>
      </c>
      <c r="I93" s="68">
        <v>123456789</v>
      </c>
      <c r="J93" s="69" t="s">
        <v>889</v>
      </c>
    </row>
    <row r="94" spans="1:10" x14ac:dyDescent="0.3">
      <c r="A94" s="62">
        <v>45022</v>
      </c>
      <c r="B94" s="63" t="s">
        <v>980</v>
      </c>
      <c r="C94" s="64">
        <v>123456881</v>
      </c>
      <c r="D94" s="65" t="s">
        <v>142</v>
      </c>
      <c r="E94" s="53" t="s">
        <v>868</v>
      </c>
      <c r="F94" s="66">
        <v>745</v>
      </c>
      <c r="G94" s="67">
        <v>31</v>
      </c>
      <c r="H94" s="67">
        <v>23095</v>
      </c>
      <c r="I94" s="68">
        <v>123456789</v>
      </c>
      <c r="J94" s="69" t="s">
        <v>887</v>
      </c>
    </row>
    <row r="95" spans="1:10" x14ac:dyDescent="0.3">
      <c r="A95" s="62">
        <v>45023</v>
      </c>
      <c r="B95" s="63" t="s">
        <v>981</v>
      </c>
      <c r="C95" s="64">
        <v>123456882</v>
      </c>
      <c r="D95" s="70" t="s">
        <v>143</v>
      </c>
      <c r="E95" s="111" t="s">
        <v>868</v>
      </c>
      <c r="F95" s="66">
        <v>937</v>
      </c>
      <c r="G95" s="67">
        <v>25</v>
      </c>
      <c r="H95" s="67">
        <v>23425</v>
      </c>
      <c r="I95" s="68">
        <v>123456789</v>
      </c>
      <c r="J95" s="69" t="s">
        <v>887</v>
      </c>
    </row>
    <row r="96" spans="1:10" x14ac:dyDescent="0.3">
      <c r="A96" s="62">
        <v>45024</v>
      </c>
      <c r="B96" s="63" t="s">
        <v>982</v>
      </c>
      <c r="C96" s="64">
        <v>123456883</v>
      </c>
      <c r="D96" s="65" t="s">
        <v>144</v>
      </c>
      <c r="E96" s="53" t="s">
        <v>869</v>
      </c>
      <c r="F96" s="66">
        <v>879</v>
      </c>
      <c r="G96" s="67">
        <v>24</v>
      </c>
      <c r="H96" s="67">
        <v>21096</v>
      </c>
      <c r="I96" s="68">
        <v>123456789</v>
      </c>
      <c r="J96" s="69" t="s">
        <v>887</v>
      </c>
    </row>
    <row r="97" spans="1:10" x14ac:dyDescent="0.3">
      <c r="A97" s="62">
        <v>45025</v>
      </c>
      <c r="B97" s="63" t="s">
        <v>983</v>
      </c>
      <c r="C97" s="64">
        <v>123456884</v>
      </c>
      <c r="D97" s="70" t="s">
        <v>145</v>
      </c>
      <c r="E97" s="111" t="s">
        <v>868</v>
      </c>
      <c r="F97" s="66">
        <v>530</v>
      </c>
      <c r="G97" s="67">
        <v>21</v>
      </c>
      <c r="H97" s="67">
        <v>11130</v>
      </c>
      <c r="I97" s="68">
        <v>123456789</v>
      </c>
      <c r="J97" s="69" t="s">
        <v>887</v>
      </c>
    </row>
    <row r="98" spans="1:10" x14ac:dyDescent="0.3">
      <c r="A98" s="62">
        <v>45026</v>
      </c>
      <c r="B98" s="63" t="s">
        <v>984</v>
      </c>
      <c r="C98" s="64">
        <v>123456885</v>
      </c>
      <c r="D98" s="65" t="s">
        <v>146</v>
      </c>
      <c r="E98" s="53" t="s">
        <v>868</v>
      </c>
      <c r="F98" s="66">
        <v>787</v>
      </c>
      <c r="G98" s="67">
        <v>25</v>
      </c>
      <c r="H98" s="67">
        <v>19675</v>
      </c>
      <c r="I98" s="68">
        <v>123456789</v>
      </c>
      <c r="J98" s="69" t="s">
        <v>887</v>
      </c>
    </row>
    <row r="99" spans="1:10" x14ac:dyDescent="0.3">
      <c r="A99" s="62">
        <v>45027</v>
      </c>
      <c r="B99" s="63" t="s">
        <v>985</v>
      </c>
      <c r="C99" s="64">
        <v>123456886</v>
      </c>
      <c r="D99" s="70" t="s">
        <v>147</v>
      </c>
      <c r="E99" s="111" t="s">
        <v>868</v>
      </c>
      <c r="F99" s="66">
        <v>683</v>
      </c>
      <c r="G99" s="67">
        <v>29</v>
      </c>
      <c r="H99" s="67">
        <v>19807</v>
      </c>
      <c r="I99" s="68">
        <v>123456789</v>
      </c>
      <c r="J99" s="69" t="s">
        <v>887</v>
      </c>
    </row>
    <row r="100" spans="1:10" x14ac:dyDescent="0.3">
      <c r="A100" s="62">
        <v>45028</v>
      </c>
      <c r="B100" s="63" t="s">
        <v>986</v>
      </c>
      <c r="C100" s="64">
        <v>123456887</v>
      </c>
      <c r="D100" s="65" t="s">
        <v>148</v>
      </c>
      <c r="E100" s="53" t="s">
        <v>868</v>
      </c>
      <c r="F100" s="66">
        <v>714</v>
      </c>
      <c r="G100" s="67">
        <v>22</v>
      </c>
      <c r="H100" s="67">
        <v>15708</v>
      </c>
      <c r="I100" s="68">
        <v>123456789</v>
      </c>
      <c r="J100" s="69" t="s">
        <v>887</v>
      </c>
    </row>
    <row r="101" spans="1:10" x14ac:dyDescent="0.3">
      <c r="A101" s="62">
        <v>45029</v>
      </c>
      <c r="B101" s="63" t="s">
        <v>987</v>
      </c>
      <c r="C101" s="64">
        <v>123456888</v>
      </c>
      <c r="D101" s="70" t="s">
        <v>149</v>
      </c>
      <c r="E101" s="111" t="s">
        <v>868</v>
      </c>
      <c r="F101" s="66">
        <v>647</v>
      </c>
      <c r="G101" s="67">
        <v>31</v>
      </c>
      <c r="H101" s="67">
        <v>20057</v>
      </c>
      <c r="I101" s="68">
        <v>123456789</v>
      </c>
      <c r="J101" s="69" t="s">
        <v>887</v>
      </c>
    </row>
    <row r="102" spans="1:10" x14ac:dyDescent="0.3">
      <c r="A102" s="62">
        <v>45030</v>
      </c>
      <c r="B102" s="63" t="s">
        <v>988</v>
      </c>
      <c r="C102" s="64">
        <v>123456889</v>
      </c>
      <c r="D102" s="65" t="s">
        <v>150</v>
      </c>
      <c r="E102" s="53" t="s">
        <v>868</v>
      </c>
      <c r="F102" s="66">
        <v>625</v>
      </c>
      <c r="G102" s="67">
        <v>22</v>
      </c>
      <c r="H102" s="67">
        <v>13750</v>
      </c>
      <c r="I102" s="68">
        <v>123456789</v>
      </c>
      <c r="J102" s="69" t="s">
        <v>887</v>
      </c>
    </row>
    <row r="103" spans="1:10" x14ac:dyDescent="0.3">
      <c r="A103" s="62">
        <v>45031</v>
      </c>
      <c r="B103" s="63" t="s">
        <v>989</v>
      </c>
      <c r="C103" s="64">
        <v>123456890</v>
      </c>
      <c r="D103" s="70" t="s">
        <v>151</v>
      </c>
      <c r="E103" s="111" t="s">
        <v>868</v>
      </c>
      <c r="F103" s="66">
        <v>558</v>
      </c>
      <c r="G103" s="67">
        <v>23</v>
      </c>
      <c r="H103" s="67">
        <v>12834</v>
      </c>
      <c r="I103" s="68">
        <v>123456789</v>
      </c>
      <c r="J103" s="69" t="s">
        <v>887</v>
      </c>
    </row>
    <row r="104" spans="1:10" x14ac:dyDescent="0.3">
      <c r="A104" s="62">
        <v>45032</v>
      </c>
      <c r="B104" s="63" t="s">
        <v>990</v>
      </c>
      <c r="C104" s="64">
        <v>123456891</v>
      </c>
      <c r="D104" s="65" t="s">
        <v>152</v>
      </c>
      <c r="E104" s="53" t="s">
        <v>868</v>
      </c>
      <c r="F104" s="66">
        <v>963</v>
      </c>
      <c r="G104" s="67">
        <v>25</v>
      </c>
      <c r="H104" s="67">
        <v>24075</v>
      </c>
      <c r="I104" s="68">
        <v>123456789</v>
      </c>
      <c r="J104" s="69" t="s">
        <v>887</v>
      </c>
    </row>
    <row r="105" spans="1:10" x14ac:dyDescent="0.3">
      <c r="A105" s="62">
        <v>45033</v>
      </c>
      <c r="B105" s="63" t="s">
        <v>991</v>
      </c>
      <c r="C105" s="64">
        <v>123456892</v>
      </c>
      <c r="D105" s="70" t="s">
        <v>153</v>
      </c>
      <c r="E105" s="111" t="s">
        <v>868</v>
      </c>
      <c r="F105" s="66">
        <v>714</v>
      </c>
      <c r="G105" s="67">
        <v>30</v>
      </c>
      <c r="H105" s="67">
        <v>21420</v>
      </c>
      <c r="I105" s="68">
        <v>123456789</v>
      </c>
      <c r="J105" s="69" t="s">
        <v>887</v>
      </c>
    </row>
    <row r="106" spans="1:10" x14ac:dyDescent="0.3">
      <c r="A106" s="62">
        <v>45034</v>
      </c>
      <c r="B106" s="63" t="s">
        <v>992</v>
      </c>
      <c r="C106" s="64">
        <v>123456893</v>
      </c>
      <c r="D106" s="65" t="s">
        <v>154</v>
      </c>
      <c r="E106" s="53" t="s">
        <v>868</v>
      </c>
      <c r="F106" s="66">
        <v>620</v>
      </c>
      <c r="G106" s="67">
        <v>27</v>
      </c>
      <c r="H106" s="67">
        <v>16740</v>
      </c>
      <c r="I106" s="68">
        <v>123456789</v>
      </c>
      <c r="J106" s="69" t="s">
        <v>887</v>
      </c>
    </row>
    <row r="107" spans="1:10" x14ac:dyDescent="0.3">
      <c r="A107" s="62">
        <v>45035</v>
      </c>
      <c r="B107" s="63" t="s">
        <v>993</v>
      </c>
      <c r="C107" s="64">
        <v>123456894</v>
      </c>
      <c r="D107" s="70" t="s">
        <v>155</v>
      </c>
      <c r="E107" s="111" t="s">
        <v>868</v>
      </c>
      <c r="F107" s="66">
        <v>659</v>
      </c>
      <c r="G107" s="67">
        <v>22</v>
      </c>
      <c r="H107" s="67">
        <v>14498</v>
      </c>
      <c r="I107" s="68">
        <v>123456789</v>
      </c>
      <c r="J107" s="69" t="s">
        <v>887</v>
      </c>
    </row>
    <row r="108" spans="1:10" x14ac:dyDescent="0.3">
      <c r="A108" s="62">
        <v>45036</v>
      </c>
      <c r="B108" s="63" t="s">
        <v>994</v>
      </c>
      <c r="C108" s="64">
        <v>123456895</v>
      </c>
      <c r="D108" s="65" t="s">
        <v>156</v>
      </c>
      <c r="E108" s="53" t="s">
        <v>869</v>
      </c>
      <c r="F108" s="66">
        <v>917</v>
      </c>
      <c r="G108" s="67">
        <v>26</v>
      </c>
      <c r="H108" s="67">
        <v>23842</v>
      </c>
      <c r="I108" s="68">
        <v>123456789</v>
      </c>
      <c r="J108" s="69" t="s">
        <v>887</v>
      </c>
    </row>
    <row r="109" spans="1:10" x14ac:dyDescent="0.3">
      <c r="A109" s="62">
        <v>45037</v>
      </c>
      <c r="B109" s="63" t="s">
        <v>995</v>
      </c>
      <c r="C109" s="64">
        <v>123456896</v>
      </c>
      <c r="D109" s="70" t="s">
        <v>157</v>
      </c>
      <c r="E109" s="111" t="s">
        <v>868</v>
      </c>
      <c r="F109" s="66">
        <v>912</v>
      </c>
      <c r="G109" s="67">
        <v>22</v>
      </c>
      <c r="H109" s="67">
        <v>20064</v>
      </c>
      <c r="I109" s="68">
        <v>123456789</v>
      </c>
      <c r="J109" s="69" t="s">
        <v>887</v>
      </c>
    </row>
    <row r="110" spans="1:10" x14ac:dyDescent="0.3">
      <c r="A110" s="62">
        <v>45038</v>
      </c>
      <c r="B110" s="63" t="s">
        <v>996</v>
      </c>
      <c r="C110" s="64">
        <v>123456897</v>
      </c>
      <c r="D110" s="65" t="s">
        <v>158</v>
      </c>
      <c r="E110" s="53" t="s">
        <v>869</v>
      </c>
      <c r="F110" s="66">
        <v>695</v>
      </c>
      <c r="G110" s="67">
        <v>31</v>
      </c>
      <c r="H110" s="67">
        <v>21545</v>
      </c>
      <c r="I110" s="68">
        <v>123456789</v>
      </c>
      <c r="J110" s="69" t="s">
        <v>887</v>
      </c>
    </row>
    <row r="111" spans="1:10" x14ac:dyDescent="0.3">
      <c r="A111" s="62">
        <v>45039</v>
      </c>
      <c r="B111" s="63" t="s">
        <v>997</v>
      </c>
      <c r="C111" s="64">
        <v>123456898</v>
      </c>
      <c r="D111" s="70" t="s">
        <v>159</v>
      </c>
      <c r="E111" s="111" t="s">
        <v>868</v>
      </c>
      <c r="F111" s="66">
        <v>856</v>
      </c>
      <c r="G111" s="67">
        <v>29</v>
      </c>
      <c r="H111" s="67">
        <v>24824</v>
      </c>
      <c r="I111" s="68">
        <v>123456789</v>
      </c>
      <c r="J111" s="69" t="s">
        <v>887</v>
      </c>
    </row>
    <row r="112" spans="1:10" x14ac:dyDescent="0.3">
      <c r="A112" s="62">
        <v>45040</v>
      </c>
      <c r="B112" s="63" t="s">
        <v>998</v>
      </c>
      <c r="C112" s="64">
        <v>123456899</v>
      </c>
      <c r="D112" s="65" t="s">
        <v>160</v>
      </c>
      <c r="E112" s="53" t="s">
        <v>868</v>
      </c>
      <c r="F112" s="66">
        <v>502</v>
      </c>
      <c r="G112" s="67">
        <v>27</v>
      </c>
      <c r="H112" s="67">
        <v>13554</v>
      </c>
      <c r="I112" s="68">
        <v>123456789</v>
      </c>
      <c r="J112" s="69" t="s">
        <v>887</v>
      </c>
    </row>
    <row r="113" spans="1:10" x14ac:dyDescent="0.3">
      <c r="A113" s="62">
        <v>45041</v>
      </c>
      <c r="B113" s="63" t="s">
        <v>999</v>
      </c>
      <c r="C113" s="64">
        <v>123456900</v>
      </c>
      <c r="D113" s="70" t="s">
        <v>161</v>
      </c>
      <c r="E113" s="111" t="s">
        <v>868</v>
      </c>
      <c r="F113" s="66">
        <v>985</v>
      </c>
      <c r="G113" s="67">
        <v>24</v>
      </c>
      <c r="H113" s="67">
        <v>23640</v>
      </c>
      <c r="I113" s="68">
        <v>123456789</v>
      </c>
      <c r="J113" s="69" t="s">
        <v>889</v>
      </c>
    </row>
    <row r="114" spans="1:10" x14ac:dyDescent="0.3">
      <c r="A114" s="62">
        <v>45042</v>
      </c>
      <c r="B114" s="63" t="s">
        <v>1000</v>
      </c>
      <c r="C114" s="64">
        <v>123456901</v>
      </c>
      <c r="D114" s="65" t="s">
        <v>162</v>
      </c>
      <c r="E114" s="53" t="s">
        <v>868</v>
      </c>
      <c r="F114" s="66">
        <v>720</v>
      </c>
      <c r="G114" s="67">
        <v>26</v>
      </c>
      <c r="H114" s="67">
        <v>18720</v>
      </c>
      <c r="I114" s="68">
        <v>123456789</v>
      </c>
      <c r="J114" s="69" t="s">
        <v>889</v>
      </c>
    </row>
    <row r="115" spans="1:10" x14ac:dyDescent="0.3">
      <c r="A115" s="62">
        <v>45043</v>
      </c>
      <c r="B115" s="63" t="s">
        <v>1001</v>
      </c>
      <c r="C115" s="64">
        <v>123456902</v>
      </c>
      <c r="D115" s="70" t="s">
        <v>163</v>
      </c>
      <c r="E115" s="111" t="s">
        <v>868</v>
      </c>
      <c r="F115" s="66">
        <v>616</v>
      </c>
      <c r="G115" s="67">
        <v>22</v>
      </c>
      <c r="H115" s="67">
        <v>13552</v>
      </c>
      <c r="I115" s="68">
        <v>123456789</v>
      </c>
      <c r="J115" s="69" t="s">
        <v>887</v>
      </c>
    </row>
    <row r="116" spans="1:10" x14ac:dyDescent="0.3">
      <c r="A116" s="62">
        <v>45044</v>
      </c>
      <c r="B116" s="63" t="s">
        <v>1002</v>
      </c>
      <c r="C116" s="64">
        <v>123456903</v>
      </c>
      <c r="D116" s="65" t="s">
        <v>164</v>
      </c>
      <c r="E116" s="53" t="s">
        <v>869</v>
      </c>
      <c r="F116" s="66">
        <v>812</v>
      </c>
      <c r="G116" s="67">
        <v>27</v>
      </c>
      <c r="H116" s="67">
        <v>21924</v>
      </c>
      <c r="I116" s="68">
        <v>123456789</v>
      </c>
      <c r="J116" s="69" t="s">
        <v>887</v>
      </c>
    </row>
    <row r="117" spans="1:10" x14ac:dyDescent="0.3">
      <c r="A117" s="62">
        <v>45045</v>
      </c>
      <c r="B117" s="63" t="s">
        <v>1003</v>
      </c>
      <c r="C117" s="64">
        <v>123456904</v>
      </c>
      <c r="D117" s="70" t="s">
        <v>165</v>
      </c>
      <c r="E117" s="111" t="s">
        <v>868</v>
      </c>
      <c r="F117" s="66">
        <v>906</v>
      </c>
      <c r="G117" s="67">
        <v>22</v>
      </c>
      <c r="H117" s="67">
        <v>19932</v>
      </c>
      <c r="I117" s="68">
        <v>123456789</v>
      </c>
      <c r="J117" s="69" t="s">
        <v>887</v>
      </c>
    </row>
    <row r="118" spans="1:10" x14ac:dyDescent="0.3">
      <c r="A118" s="62">
        <v>45046</v>
      </c>
      <c r="B118" s="63" t="s">
        <v>1004</v>
      </c>
      <c r="C118" s="64">
        <v>123456905</v>
      </c>
      <c r="D118" s="65" t="s">
        <v>166</v>
      </c>
      <c r="E118" s="53" t="s">
        <v>869</v>
      </c>
      <c r="F118" s="66">
        <v>645</v>
      </c>
      <c r="G118" s="67">
        <v>28</v>
      </c>
      <c r="H118" s="67">
        <v>18060</v>
      </c>
      <c r="I118" s="68">
        <v>123456789</v>
      </c>
      <c r="J118" s="69" t="s">
        <v>889</v>
      </c>
    </row>
    <row r="119" spans="1:10" x14ac:dyDescent="0.3">
      <c r="A119" s="62">
        <v>45047</v>
      </c>
      <c r="B119" s="63" t="s">
        <v>1005</v>
      </c>
      <c r="C119" s="64">
        <v>123456906</v>
      </c>
      <c r="D119" s="70" t="s">
        <v>167</v>
      </c>
      <c r="E119" s="111" t="s">
        <v>869</v>
      </c>
      <c r="F119" s="66">
        <v>762</v>
      </c>
      <c r="G119" s="67">
        <v>30</v>
      </c>
      <c r="H119" s="67">
        <v>22860</v>
      </c>
      <c r="I119" s="68">
        <v>123456789</v>
      </c>
      <c r="J119" s="69" t="s">
        <v>887</v>
      </c>
    </row>
    <row r="120" spans="1:10" x14ac:dyDescent="0.3">
      <c r="A120" s="62">
        <v>45048</v>
      </c>
      <c r="B120" s="63" t="s">
        <v>1006</v>
      </c>
      <c r="C120" s="64">
        <v>123456907</v>
      </c>
      <c r="D120" s="65" t="s">
        <v>168</v>
      </c>
      <c r="E120" s="53" t="s">
        <v>868</v>
      </c>
      <c r="F120" s="66">
        <v>753</v>
      </c>
      <c r="G120" s="67">
        <v>25</v>
      </c>
      <c r="H120" s="67">
        <v>18825</v>
      </c>
      <c r="I120" s="68">
        <v>123456789</v>
      </c>
      <c r="J120" s="69" t="s">
        <v>887</v>
      </c>
    </row>
    <row r="121" spans="1:10" x14ac:dyDescent="0.3">
      <c r="A121" s="62">
        <v>45049</v>
      </c>
      <c r="B121" s="63" t="s">
        <v>1007</v>
      </c>
      <c r="C121" s="64">
        <v>123456908</v>
      </c>
      <c r="D121" s="70" t="s">
        <v>169</v>
      </c>
      <c r="E121" s="111" t="s">
        <v>868</v>
      </c>
      <c r="F121" s="66">
        <v>585</v>
      </c>
      <c r="G121" s="67">
        <v>24</v>
      </c>
      <c r="H121" s="67">
        <v>14040</v>
      </c>
      <c r="I121" s="68">
        <v>123456789</v>
      </c>
      <c r="J121" s="69" t="s">
        <v>889</v>
      </c>
    </row>
    <row r="122" spans="1:10" x14ac:dyDescent="0.3">
      <c r="A122" s="62">
        <v>45050</v>
      </c>
      <c r="B122" s="63" t="s">
        <v>1008</v>
      </c>
      <c r="C122" s="64">
        <v>123456909</v>
      </c>
      <c r="D122" s="65" t="s">
        <v>170</v>
      </c>
      <c r="E122" s="53" t="s">
        <v>869</v>
      </c>
      <c r="F122" s="66">
        <v>589</v>
      </c>
      <c r="G122" s="67">
        <v>23</v>
      </c>
      <c r="H122" s="67">
        <v>13547</v>
      </c>
      <c r="I122" s="68">
        <v>123456789</v>
      </c>
      <c r="J122" s="69" t="s">
        <v>887</v>
      </c>
    </row>
    <row r="123" spans="1:10" x14ac:dyDescent="0.3">
      <c r="A123" s="62">
        <v>45051</v>
      </c>
      <c r="B123" s="63" t="s">
        <v>1009</v>
      </c>
      <c r="C123" s="64">
        <v>123456910</v>
      </c>
      <c r="D123" s="70" t="s">
        <v>171</v>
      </c>
      <c r="E123" s="111" t="s">
        <v>869</v>
      </c>
      <c r="F123" s="66">
        <v>808</v>
      </c>
      <c r="G123" s="67">
        <v>25</v>
      </c>
      <c r="H123" s="67">
        <v>20200</v>
      </c>
      <c r="I123" s="68">
        <v>123456789</v>
      </c>
      <c r="J123" s="69" t="s">
        <v>887</v>
      </c>
    </row>
    <row r="124" spans="1:10" x14ac:dyDescent="0.3">
      <c r="A124" s="62">
        <v>45052</v>
      </c>
      <c r="B124" s="63" t="s">
        <v>1010</v>
      </c>
      <c r="C124" s="64">
        <v>123456911</v>
      </c>
      <c r="D124" s="65" t="s">
        <v>172</v>
      </c>
      <c r="E124" s="53" t="s">
        <v>868</v>
      </c>
      <c r="F124" s="66">
        <v>937</v>
      </c>
      <c r="G124" s="67">
        <v>24</v>
      </c>
      <c r="H124" s="67">
        <v>22488</v>
      </c>
      <c r="I124" s="68">
        <v>123456789</v>
      </c>
      <c r="J124" s="69" t="s">
        <v>887</v>
      </c>
    </row>
    <row r="125" spans="1:10" x14ac:dyDescent="0.3">
      <c r="A125" s="62">
        <v>45053</v>
      </c>
      <c r="B125" s="63" t="s">
        <v>1011</v>
      </c>
      <c r="C125" s="64">
        <v>123456912</v>
      </c>
      <c r="D125" s="70" t="s">
        <v>173</v>
      </c>
      <c r="E125" s="111" t="s">
        <v>869</v>
      </c>
      <c r="F125" s="66">
        <v>778</v>
      </c>
      <c r="G125" s="67">
        <v>28</v>
      </c>
      <c r="H125" s="67">
        <v>21784</v>
      </c>
      <c r="I125" s="68">
        <v>123456789</v>
      </c>
      <c r="J125" s="69" t="s">
        <v>889</v>
      </c>
    </row>
    <row r="126" spans="1:10" x14ac:dyDescent="0.3">
      <c r="A126" s="62">
        <v>45054</v>
      </c>
      <c r="B126" s="63" t="s">
        <v>1012</v>
      </c>
      <c r="C126" s="64">
        <v>123456913</v>
      </c>
      <c r="D126" s="65" t="s">
        <v>174</v>
      </c>
      <c r="E126" s="53" t="s">
        <v>868</v>
      </c>
      <c r="F126" s="66">
        <v>779</v>
      </c>
      <c r="G126" s="67">
        <v>29</v>
      </c>
      <c r="H126" s="67">
        <v>22591</v>
      </c>
      <c r="I126" s="68">
        <v>123456789</v>
      </c>
      <c r="J126" s="69" t="s">
        <v>887</v>
      </c>
    </row>
    <row r="127" spans="1:10" x14ac:dyDescent="0.3">
      <c r="A127" s="62">
        <v>45055</v>
      </c>
      <c r="B127" s="63" t="s">
        <v>1013</v>
      </c>
      <c r="C127" s="64">
        <v>123456914</v>
      </c>
      <c r="D127" s="70" t="s">
        <v>175</v>
      </c>
      <c r="E127" s="111" t="s">
        <v>868</v>
      </c>
      <c r="F127" s="66">
        <v>644</v>
      </c>
      <c r="G127" s="67">
        <v>22</v>
      </c>
      <c r="H127" s="67">
        <v>14168</v>
      </c>
      <c r="I127" s="68">
        <v>123456789</v>
      </c>
      <c r="J127" s="69" t="s">
        <v>887</v>
      </c>
    </row>
    <row r="128" spans="1:10" x14ac:dyDescent="0.3">
      <c r="A128" s="62">
        <v>45056</v>
      </c>
      <c r="B128" s="63" t="s">
        <v>1014</v>
      </c>
      <c r="C128" s="64">
        <v>123456915</v>
      </c>
      <c r="D128" s="65" t="s">
        <v>176</v>
      </c>
      <c r="E128" s="53" t="s">
        <v>869</v>
      </c>
      <c r="F128" s="66">
        <v>944</v>
      </c>
      <c r="G128" s="67">
        <v>23</v>
      </c>
      <c r="H128" s="67">
        <v>21712</v>
      </c>
      <c r="I128" s="68">
        <v>123456789</v>
      </c>
      <c r="J128" s="69" t="s">
        <v>887</v>
      </c>
    </row>
    <row r="129" spans="1:10" x14ac:dyDescent="0.3">
      <c r="A129" s="62">
        <v>45057</v>
      </c>
      <c r="B129" s="63" t="s">
        <v>1015</v>
      </c>
      <c r="C129" s="64">
        <v>123456916</v>
      </c>
      <c r="D129" s="70" t="s">
        <v>177</v>
      </c>
      <c r="E129" s="111" t="s">
        <v>868</v>
      </c>
      <c r="F129" s="66">
        <v>969</v>
      </c>
      <c r="G129" s="67">
        <v>28</v>
      </c>
      <c r="H129" s="67">
        <v>27132</v>
      </c>
      <c r="I129" s="68">
        <v>123456789</v>
      </c>
      <c r="J129" s="69" t="s">
        <v>889</v>
      </c>
    </row>
    <row r="130" spans="1:10" x14ac:dyDescent="0.3">
      <c r="A130" s="62">
        <v>45058</v>
      </c>
      <c r="B130" s="63" t="s">
        <v>1016</v>
      </c>
      <c r="C130" s="64">
        <v>123456917</v>
      </c>
      <c r="D130" s="65" t="s">
        <v>178</v>
      </c>
      <c r="E130" s="53" t="s">
        <v>869</v>
      </c>
      <c r="F130" s="66">
        <v>595</v>
      </c>
      <c r="G130" s="67">
        <v>24</v>
      </c>
      <c r="H130" s="67">
        <v>14280</v>
      </c>
      <c r="I130" s="68">
        <v>123456789</v>
      </c>
      <c r="J130" s="69" t="s">
        <v>887</v>
      </c>
    </row>
    <row r="131" spans="1:10" x14ac:dyDescent="0.3">
      <c r="A131" s="62">
        <v>45059</v>
      </c>
      <c r="B131" s="63" t="s">
        <v>1017</v>
      </c>
      <c r="C131" s="64">
        <v>123456918</v>
      </c>
      <c r="D131" s="70" t="s">
        <v>179</v>
      </c>
      <c r="E131" s="111" t="s">
        <v>868</v>
      </c>
      <c r="F131" s="66">
        <v>636</v>
      </c>
      <c r="G131" s="67">
        <v>23</v>
      </c>
      <c r="H131" s="67">
        <v>14628</v>
      </c>
      <c r="I131" s="68">
        <v>123456789</v>
      </c>
      <c r="J131" s="69" t="s">
        <v>887</v>
      </c>
    </row>
    <row r="132" spans="1:10" x14ac:dyDescent="0.3">
      <c r="A132" s="62">
        <v>45060</v>
      </c>
      <c r="B132" s="63" t="s">
        <v>1018</v>
      </c>
      <c r="C132" s="64">
        <v>123456919</v>
      </c>
      <c r="D132" s="65" t="s">
        <v>180</v>
      </c>
      <c r="E132" s="53" t="s">
        <v>868</v>
      </c>
      <c r="F132" s="66">
        <v>696</v>
      </c>
      <c r="G132" s="67">
        <v>31</v>
      </c>
      <c r="H132" s="67">
        <v>21576</v>
      </c>
      <c r="I132" s="68">
        <v>123456789</v>
      </c>
      <c r="J132" s="69" t="s">
        <v>887</v>
      </c>
    </row>
    <row r="133" spans="1:10" x14ac:dyDescent="0.3">
      <c r="A133" s="62">
        <v>45061</v>
      </c>
      <c r="B133" s="63" t="s">
        <v>1019</v>
      </c>
      <c r="C133" s="64">
        <v>123456920</v>
      </c>
      <c r="D133" s="70" t="s">
        <v>181</v>
      </c>
      <c r="E133" s="111" t="s">
        <v>868</v>
      </c>
      <c r="F133" s="66">
        <v>800</v>
      </c>
      <c r="G133" s="67">
        <v>27</v>
      </c>
      <c r="H133" s="67">
        <v>21600</v>
      </c>
      <c r="I133" s="68">
        <v>123456789</v>
      </c>
      <c r="J133" s="69" t="s">
        <v>887</v>
      </c>
    </row>
    <row r="134" spans="1:10" x14ac:dyDescent="0.3">
      <c r="A134" s="62">
        <v>45062</v>
      </c>
      <c r="B134" s="63" t="s">
        <v>1020</v>
      </c>
      <c r="C134" s="64">
        <v>123456921</v>
      </c>
      <c r="D134" s="65" t="s">
        <v>182</v>
      </c>
      <c r="E134" s="53" t="s">
        <v>869</v>
      </c>
      <c r="F134" s="66">
        <v>525</v>
      </c>
      <c r="G134" s="67">
        <v>25</v>
      </c>
      <c r="H134" s="67">
        <v>13125</v>
      </c>
      <c r="I134" s="68">
        <v>123456789</v>
      </c>
      <c r="J134" s="69" t="s">
        <v>887</v>
      </c>
    </row>
    <row r="135" spans="1:10" x14ac:dyDescent="0.3">
      <c r="A135" s="62">
        <v>45063</v>
      </c>
      <c r="B135" s="63" t="s">
        <v>1021</v>
      </c>
      <c r="C135" s="64">
        <v>123456922</v>
      </c>
      <c r="D135" s="70" t="s">
        <v>183</v>
      </c>
      <c r="E135" s="111" t="s">
        <v>868</v>
      </c>
      <c r="F135" s="66">
        <v>996</v>
      </c>
      <c r="G135" s="67">
        <v>27</v>
      </c>
      <c r="H135" s="67">
        <v>26892</v>
      </c>
      <c r="I135" s="68">
        <v>123456789</v>
      </c>
      <c r="J135" s="69" t="s">
        <v>887</v>
      </c>
    </row>
    <row r="136" spans="1:10" x14ac:dyDescent="0.3">
      <c r="A136" s="62">
        <v>45064</v>
      </c>
      <c r="B136" s="63" t="s">
        <v>1022</v>
      </c>
      <c r="C136" s="64">
        <v>123456923</v>
      </c>
      <c r="D136" s="65" t="s">
        <v>184</v>
      </c>
      <c r="E136" s="53" t="s">
        <v>868</v>
      </c>
      <c r="F136" s="66">
        <v>868</v>
      </c>
      <c r="G136" s="67">
        <v>31</v>
      </c>
      <c r="H136" s="67">
        <v>26908</v>
      </c>
      <c r="I136" s="68">
        <v>123456789</v>
      </c>
      <c r="J136" s="69" t="s">
        <v>887</v>
      </c>
    </row>
    <row r="137" spans="1:10" x14ac:dyDescent="0.3">
      <c r="A137" s="62">
        <v>45065</v>
      </c>
      <c r="B137" s="63" t="s">
        <v>1023</v>
      </c>
      <c r="C137" s="64">
        <v>123456924</v>
      </c>
      <c r="D137" s="70" t="s">
        <v>185</v>
      </c>
      <c r="E137" s="111" t="s">
        <v>869</v>
      </c>
      <c r="F137" s="66">
        <v>553</v>
      </c>
      <c r="G137" s="67">
        <v>21</v>
      </c>
      <c r="H137" s="67">
        <v>11613</v>
      </c>
      <c r="I137" s="68">
        <v>123456789</v>
      </c>
      <c r="J137" s="69" t="s">
        <v>887</v>
      </c>
    </row>
    <row r="138" spans="1:10" x14ac:dyDescent="0.3">
      <c r="A138" s="62">
        <v>45066</v>
      </c>
      <c r="B138" s="63" t="s">
        <v>1024</v>
      </c>
      <c r="C138" s="64">
        <v>123456925</v>
      </c>
      <c r="D138" s="65" t="s">
        <v>186</v>
      </c>
      <c r="E138" s="53" t="s">
        <v>869</v>
      </c>
      <c r="F138" s="66">
        <v>945</v>
      </c>
      <c r="G138" s="67">
        <v>26</v>
      </c>
      <c r="H138" s="67">
        <v>24570</v>
      </c>
      <c r="I138" s="68">
        <v>123456789</v>
      </c>
      <c r="J138" s="69" t="s">
        <v>887</v>
      </c>
    </row>
    <row r="139" spans="1:10" x14ac:dyDescent="0.3">
      <c r="A139" s="62">
        <v>45067</v>
      </c>
      <c r="B139" s="63" t="s">
        <v>1025</v>
      </c>
      <c r="C139" s="64">
        <v>123456926</v>
      </c>
      <c r="D139" s="70" t="s">
        <v>187</v>
      </c>
      <c r="E139" s="111" t="s">
        <v>868</v>
      </c>
      <c r="F139" s="66">
        <v>968</v>
      </c>
      <c r="G139" s="67">
        <v>27</v>
      </c>
      <c r="H139" s="67">
        <v>26136</v>
      </c>
      <c r="I139" s="68">
        <v>123456789</v>
      </c>
      <c r="J139" s="69" t="s">
        <v>887</v>
      </c>
    </row>
    <row r="140" spans="1:10" x14ac:dyDescent="0.3">
      <c r="A140" s="62">
        <v>45068</v>
      </c>
      <c r="B140" s="63" t="s">
        <v>1026</v>
      </c>
      <c r="C140" s="64">
        <v>123456927</v>
      </c>
      <c r="D140" s="65" t="s">
        <v>188</v>
      </c>
      <c r="E140" s="53" t="s">
        <v>869</v>
      </c>
      <c r="F140" s="66">
        <v>500</v>
      </c>
      <c r="G140" s="67">
        <v>22</v>
      </c>
      <c r="H140" s="67">
        <v>11000</v>
      </c>
      <c r="I140" s="68">
        <v>123456789</v>
      </c>
      <c r="J140" s="69" t="s">
        <v>889</v>
      </c>
    </row>
    <row r="141" spans="1:10" x14ac:dyDescent="0.3">
      <c r="A141" s="62">
        <v>45069</v>
      </c>
      <c r="B141" s="63" t="s">
        <v>1027</v>
      </c>
      <c r="C141" s="64">
        <v>123456928</v>
      </c>
      <c r="D141" s="70" t="s">
        <v>189</v>
      </c>
      <c r="E141" s="111" t="s">
        <v>869</v>
      </c>
      <c r="F141" s="66">
        <v>950</v>
      </c>
      <c r="G141" s="67">
        <v>27</v>
      </c>
      <c r="H141" s="67">
        <v>25650</v>
      </c>
      <c r="I141" s="68">
        <v>123456789</v>
      </c>
      <c r="J141" s="69" t="s">
        <v>887</v>
      </c>
    </row>
    <row r="142" spans="1:10" x14ac:dyDescent="0.3">
      <c r="A142" s="62">
        <v>45070</v>
      </c>
      <c r="B142" s="63" t="s">
        <v>1028</v>
      </c>
      <c r="C142" s="64">
        <v>123456929</v>
      </c>
      <c r="D142" s="65" t="s">
        <v>190</v>
      </c>
      <c r="E142" s="53" t="s">
        <v>868</v>
      </c>
      <c r="F142" s="66">
        <v>651</v>
      </c>
      <c r="G142" s="67">
        <v>27</v>
      </c>
      <c r="H142" s="67">
        <v>17577</v>
      </c>
      <c r="I142" s="68">
        <v>123456789</v>
      </c>
      <c r="J142" s="69" t="s">
        <v>887</v>
      </c>
    </row>
    <row r="143" spans="1:10" x14ac:dyDescent="0.3">
      <c r="A143" s="62">
        <v>45071</v>
      </c>
      <c r="B143" s="63" t="s">
        <v>1029</v>
      </c>
      <c r="C143" s="64">
        <v>123456930</v>
      </c>
      <c r="D143" s="70" t="s">
        <v>191</v>
      </c>
      <c r="E143" s="111" t="s">
        <v>868</v>
      </c>
      <c r="F143" s="66">
        <v>541</v>
      </c>
      <c r="G143" s="67">
        <v>23</v>
      </c>
      <c r="H143" s="67">
        <v>12443</v>
      </c>
      <c r="I143" s="68">
        <v>123456789</v>
      </c>
      <c r="J143" s="69" t="s">
        <v>887</v>
      </c>
    </row>
    <row r="144" spans="1:10" x14ac:dyDescent="0.3">
      <c r="A144" s="62">
        <v>45072</v>
      </c>
      <c r="B144" s="63" t="s">
        <v>1030</v>
      </c>
      <c r="C144" s="64">
        <v>123456931</v>
      </c>
      <c r="D144" s="65" t="s">
        <v>192</v>
      </c>
      <c r="E144" s="53" t="s">
        <v>869</v>
      </c>
      <c r="F144" s="66">
        <v>897</v>
      </c>
      <c r="G144" s="67">
        <v>21</v>
      </c>
      <c r="H144" s="67">
        <v>18837</v>
      </c>
      <c r="I144" s="68">
        <v>123456789</v>
      </c>
      <c r="J144" s="69" t="s">
        <v>887</v>
      </c>
    </row>
    <row r="145" spans="1:10" x14ac:dyDescent="0.3">
      <c r="A145" s="62">
        <v>45073</v>
      </c>
      <c r="B145" s="63" t="s">
        <v>1031</v>
      </c>
      <c r="C145" s="64">
        <v>123456932</v>
      </c>
      <c r="D145" s="70" t="s">
        <v>193</v>
      </c>
      <c r="E145" s="111" t="s">
        <v>868</v>
      </c>
      <c r="F145" s="66">
        <v>638</v>
      </c>
      <c r="G145" s="67">
        <v>22</v>
      </c>
      <c r="H145" s="67">
        <v>14036</v>
      </c>
      <c r="I145" s="68">
        <v>123456789</v>
      </c>
      <c r="J145" s="69" t="s">
        <v>887</v>
      </c>
    </row>
    <row r="146" spans="1:10" x14ac:dyDescent="0.3">
      <c r="A146" s="62">
        <v>45074</v>
      </c>
      <c r="B146" s="63" t="s">
        <v>1032</v>
      </c>
      <c r="C146" s="64">
        <v>123456933</v>
      </c>
      <c r="D146" s="65" t="s">
        <v>194</v>
      </c>
      <c r="E146" s="53" t="s">
        <v>868</v>
      </c>
      <c r="F146" s="66">
        <v>502</v>
      </c>
      <c r="G146" s="67">
        <v>28</v>
      </c>
      <c r="H146" s="67">
        <v>14056</v>
      </c>
      <c r="I146" s="68">
        <v>123456789</v>
      </c>
      <c r="J146" s="69" t="s">
        <v>887</v>
      </c>
    </row>
    <row r="147" spans="1:10" x14ac:dyDescent="0.3">
      <c r="A147" s="62">
        <v>45075</v>
      </c>
      <c r="B147" s="63" t="s">
        <v>1033</v>
      </c>
      <c r="C147" s="64">
        <v>123456934</v>
      </c>
      <c r="D147" s="70" t="s">
        <v>195</v>
      </c>
      <c r="E147" s="111" t="s">
        <v>869</v>
      </c>
      <c r="F147" s="66">
        <v>920</v>
      </c>
      <c r="G147" s="67">
        <v>24</v>
      </c>
      <c r="H147" s="67">
        <v>22080</v>
      </c>
      <c r="I147" s="68">
        <v>123456789</v>
      </c>
      <c r="J147" s="69" t="s">
        <v>887</v>
      </c>
    </row>
    <row r="148" spans="1:10" x14ac:dyDescent="0.3">
      <c r="A148" s="62">
        <v>45076</v>
      </c>
      <c r="B148" s="63" t="s">
        <v>1034</v>
      </c>
      <c r="C148" s="64">
        <v>123456935</v>
      </c>
      <c r="D148" s="65" t="s">
        <v>196</v>
      </c>
      <c r="E148" s="53" t="s">
        <v>868</v>
      </c>
      <c r="F148" s="66">
        <v>581</v>
      </c>
      <c r="G148" s="67">
        <v>29</v>
      </c>
      <c r="H148" s="67">
        <v>16849</v>
      </c>
      <c r="I148" s="68">
        <v>123456789</v>
      </c>
      <c r="J148" s="69" t="s">
        <v>887</v>
      </c>
    </row>
    <row r="149" spans="1:10" x14ac:dyDescent="0.3">
      <c r="A149" s="62">
        <v>45077</v>
      </c>
      <c r="B149" s="63" t="s">
        <v>1035</v>
      </c>
      <c r="C149" s="64">
        <v>123456936</v>
      </c>
      <c r="D149" s="70" t="s">
        <v>197</v>
      </c>
      <c r="E149" s="111" t="s">
        <v>868</v>
      </c>
      <c r="F149" s="66">
        <v>623</v>
      </c>
      <c r="G149" s="67">
        <v>29</v>
      </c>
      <c r="H149" s="67">
        <v>18067</v>
      </c>
      <c r="I149" s="68">
        <v>123456789</v>
      </c>
      <c r="J149" s="69" t="s">
        <v>887</v>
      </c>
    </row>
    <row r="150" spans="1:10" x14ac:dyDescent="0.3">
      <c r="A150" s="62">
        <v>45078</v>
      </c>
      <c r="B150" s="63" t="s">
        <v>1036</v>
      </c>
      <c r="C150" s="64">
        <v>123456937</v>
      </c>
      <c r="D150" s="65" t="s">
        <v>198</v>
      </c>
      <c r="E150" s="53" t="s">
        <v>868</v>
      </c>
      <c r="F150" s="66">
        <v>769</v>
      </c>
      <c r="G150" s="67">
        <v>25</v>
      </c>
      <c r="H150" s="67">
        <v>19225</v>
      </c>
      <c r="I150" s="68">
        <v>123456789</v>
      </c>
      <c r="J150" s="69" t="s">
        <v>887</v>
      </c>
    </row>
    <row r="151" spans="1:10" x14ac:dyDescent="0.3">
      <c r="A151" s="62">
        <v>45079</v>
      </c>
      <c r="B151" s="63" t="s">
        <v>1037</v>
      </c>
      <c r="C151" s="64">
        <v>123456938</v>
      </c>
      <c r="D151" s="70" t="s">
        <v>199</v>
      </c>
      <c r="E151" s="111" t="s">
        <v>869</v>
      </c>
      <c r="F151" s="66">
        <v>793</v>
      </c>
      <c r="G151" s="67">
        <v>25</v>
      </c>
      <c r="H151" s="67">
        <v>19825</v>
      </c>
      <c r="I151" s="68">
        <v>123456789</v>
      </c>
      <c r="J151" s="69" t="s">
        <v>887</v>
      </c>
    </row>
    <row r="152" spans="1:10" x14ac:dyDescent="0.3">
      <c r="A152" s="62">
        <v>45080</v>
      </c>
      <c r="B152" s="63" t="s">
        <v>1038</v>
      </c>
      <c r="C152" s="64">
        <v>123456939</v>
      </c>
      <c r="D152" s="65" t="s">
        <v>200</v>
      </c>
      <c r="E152" s="53" t="s">
        <v>868</v>
      </c>
      <c r="F152" s="66">
        <v>922</v>
      </c>
      <c r="G152" s="67">
        <v>27</v>
      </c>
      <c r="H152" s="67">
        <v>24894</v>
      </c>
      <c r="I152" s="68">
        <v>123456789</v>
      </c>
      <c r="J152" s="69" t="s">
        <v>887</v>
      </c>
    </row>
    <row r="153" spans="1:10" x14ac:dyDescent="0.3">
      <c r="A153" s="62">
        <v>45081</v>
      </c>
      <c r="B153" s="63" t="s">
        <v>1039</v>
      </c>
      <c r="C153" s="64">
        <v>123456940</v>
      </c>
      <c r="D153" s="70" t="s">
        <v>201</v>
      </c>
      <c r="E153" s="111" t="s">
        <v>869</v>
      </c>
      <c r="F153" s="66">
        <v>862</v>
      </c>
      <c r="G153" s="67">
        <v>22</v>
      </c>
      <c r="H153" s="67">
        <v>18964</v>
      </c>
      <c r="I153" s="68">
        <v>123456789</v>
      </c>
      <c r="J153" s="69" t="s">
        <v>889</v>
      </c>
    </row>
    <row r="154" spans="1:10" x14ac:dyDescent="0.3">
      <c r="A154" s="62">
        <v>45082</v>
      </c>
      <c r="B154" s="63" t="s">
        <v>1040</v>
      </c>
      <c r="C154" s="64">
        <v>123456941</v>
      </c>
      <c r="D154" s="65" t="s">
        <v>202</v>
      </c>
      <c r="E154" s="53" t="s">
        <v>869</v>
      </c>
      <c r="F154" s="66">
        <v>568</v>
      </c>
      <c r="G154" s="67">
        <v>30</v>
      </c>
      <c r="H154" s="67">
        <v>17040</v>
      </c>
      <c r="I154" s="68">
        <v>123456789</v>
      </c>
      <c r="J154" s="69" t="s">
        <v>887</v>
      </c>
    </row>
    <row r="155" spans="1:10" x14ac:dyDescent="0.3">
      <c r="A155" s="62">
        <v>45083</v>
      </c>
      <c r="B155" s="63" t="s">
        <v>1041</v>
      </c>
      <c r="C155" s="64">
        <v>123456942</v>
      </c>
      <c r="D155" s="70" t="s">
        <v>203</v>
      </c>
      <c r="E155" s="111" t="s">
        <v>868</v>
      </c>
      <c r="F155" s="66">
        <v>692</v>
      </c>
      <c r="G155" s="67">
        <v>25</v>
      </c>
      <c r="H155" s="67">
        <v>17300</v>
      </c>
      <c r="I155" s="68">
        <v>123456789</v>
      </c>
      <c r="J155" s="69" t="s">
        <v>889</v>
      </c>
    </row>
    <row r="156" spans="1:10" x14ac:dyDescent="0.3">
      <c r="A156" s="62">
        <v>45084</v>
      </c>
      <c r="B156" s="63" t="s">
        <v>1042</v>
      </c>
      <c r="C156" s="64">
        <v>123456943</v>
      </c>
      <c r="D156" s="65" t="s">
        <v>204</v>
      </c>
      <c r="E156" s="53" t="s">
        <v>868</v>
      </c>
      <c r="F156" s="66">
        <v>537</v>
      </c>
      <c r="G156" s="67">
        <v>27</v>
      </c>
      <c r="H156" s="67">
        <v>14499</v>
      </c>
      <c r="I156" s="68">
        <v>123456789</v>
      </c>
      <c r="J156" s="69" t="s">
        <v>887</v>
      </c>
    </row>
    <row r="157" spans="1:10" x14ac:dyDescent="0.3">
      <c r="A157" s="62">
        <v>45085</v>
      </c>
      <c r="B157" s="63" t="s">
        <v>1043</v>
      </c>
      <c r="C157" s="64">
        <v>123456944</v>
      </c>
      <c r="D157" s="70" t="s">
        <v>205</v>
      </c>
      <c r="E157" s="111" t="s">
        <v>869</v>
      </c>
      <c r="F157" s="66">
        <v>950</v>
      </c>
      <c r="G157" s="67">
        <v>31</v>
      </c>
      <c r="H157" s="67">
        <v>29450</v>
      </c>
      <c r="I157" s="68">
        <v>123456789</v>
      </c>
      <c r="J157" s="69" t="s">
        <v>889</v>
      </c>
    </row>
    <row r="158" spans="1:10" x14ac:dyDescent="0.3">
      <c r="A158" s="62">
        <v>45086</v>
      </c>
      <c r="B158" s="63" t="s">
        <v>1044</v>
      </c>
      <c r="C158" s="64">
        <v>123456945</v>
      </c>
      <c r="D158" s="65" t="s">
        <v>206</v>
      </c>
      <c r="E158" s="53" t="s">
        <v>869</v>
      </c>
      <c r="F158" s="66">
        <v>932</v>
      </c>
      <c r="G158" s="67">
        <v>26</v>
      </c>
      <c r="H158" s="67">
        <v>24232</v>
      </c>
      <c r="I158" s="68">
        <v>123456789</v>
      </c>
      <c r="J158" s="69" t="s">
        <v>889</v>
      </c>
    </row>
    <row r="159" spans="1:10" x14ac:dyDescent="0.3">
      <c r="A159" s="62">
        <v>45087</v>
      </c>
      <c r="B159" s="63" t="s">
        <v>1045</v>
      </c>
      <c r="C159" s="64">
        <v>123456946</v>
      </c>
      <c r="D159" s="70" t="s">
        <v>207</v>
      </c>
      <c r="E159" s="111" t="s">
        <v>868</v>
      </c>
      <c r="F159" s="66">
        <v>736</v>
      </c>
      <c r="G159" s="67">
        <v>22</v>
      </c>
      <c r="H159" s="67">
        <v>16192</v>
      </c>
      <c r="I159" s="68">
        <v>123456789</v>
      </c>
      <c r="J159" s="69" t="s">
        <v>887</v>
      </c>
    </row>
    <row r="160" spans="1:10" x14ac:dyDescent="0.3">
      <c r="A160" s="62">
        <v>45088</v>
      </c>
      <c r="B160" s="63" t="s">
        <v>1046</v>
      </c>
      <c r="C160" s="64">
        <v>123456947</v>
      </c>
      <c r="D160" s="65" t="s">
        <v>208</v>
      </c>
      <c r="E160" s="53" t="s">
        <v>868</v>
      </c>
      <c r="F160" s="66">
        <v>570</v>
      </c>
      <c r="G160" s="67">
        <v>31</v>
      </c>
      <c r="H160" s="67">
        <v>17670</v>
      </c>
      <c r="I160" s="68">
        <v>123456789</v>
      </c>
      <c r="J160" s="69" t="s">
        <v>887</v>
      </c>
    </row>
    <row r="161" spans="1:10" x14ac:dyDescent="0.3">
      <c r="A161" s="62">
        <v>45089</v>
      </c>
      <c r="B161" s="63" t="s">
        <v>1047</v>
      </c>
      <c r="C161" s="64">
        <v>123456948</v>
      </c>
      <c r="D161" s="70" t="s">
        <v>209</v>
      </c>
      <c r="E161" s="111" t="s">
        <v>869</v>
      </c>
      <c r="F161" s="66">
        <v>980</v>
      </c>
      <c r="G161" s="67">
        <v>24</v>
      </c>
      <c r="H161" s="67">
        <v>23520</v>
      </c>
      <c r="I161" s="68">
        <v>123456789</v>
      </c>
      <c r="J161" s="69" t="s">
        <v>887</v>
      </c>
    </row>
    <row r="162" spans="1:10" x14ac:dyDescent="0.3">
      <c r="A162" s="62">
        <v>45090</v>
      </c>
      <c r="B162" s="63" t="s">
        <v>1048</v>
      </c>
      <c r="C162" s="64">
        <v>123456949</v>
      </c>
      <c r="D162" s="65" t="s">
        <v>210</v>
      </c>
      <c r="E162" s="53" t="s">
        <v>868</v>
      </c>
      <c r="F162" s="66">
        <v>635</v>
      </c>
      <c r="G162" s="67">
        <v>26</v>
      </c>
      <c r="H162" s="67">
        <v>16510</v>
      </c>
      <c r="I162" s="68">
        <v>123456789</v>
      </c>
      <c r="J162" s="69" t="s">
        <v>889</v>
      </c>
    </row>
    <row r="163" spans="1:10" x14ac:dyDescent="0.3">
      <c r="A163" s="62">
        <v>45091</v>
      </c>
      <c r="B163" s="63" t="s">
        <v>1049</v>
      </c>
      <c r="C163" s="64">
        <v>123456950</v>
      </c>
      <c r="D163" s="70" t="s">
        <v>211</v>
      </c>
      <c r="E163" s="111" t="s">
        <v>868</v>
      </c>
      <c r="F163" s="66">
        <v>819</v>
      </c>
      <c r="G163" s="67">
        <v>31</v>
      </c>
      <c r="H163" s="67">
        <v>25389</v>
      </c>
      <c r="I163" s="68">
        <v>123456789</v>
      </c>
      <c r="J163" s="69" t="s">
        <v>887</v>
      </c>
    </row>
    <row r="164" spans="1:10" x14ac:dyDescent="0.3">
      <c r="A164" s="62">
        <v>45092</v>
      </c>
      <c r="B164" s="63" t="s">
        <v>1050</v>
      </c>
      <c r="C164" s="64">
        <v>123456951</v>
      </c>
      <c r="D164" s="65" t="s">
        <v>212</v>
      </c>
      <c r="E164" s="53" t="s">
        <v>868</v>
      </c>
      <c r="F164" s="66">
        <v>950</v>
      </c>
      <c r="G164" s="67">
        <v>23</v>
      </c>
      <c r="H164" s="67">
        <v>21850</v>
      </c>
      <c r="I164" s="68">
        <v>123456789</v>
      </c>
      <c r="J164" s="69" t="s">
        <v>887</v>
      </c>
    </row>
    <row r="165" spans="1:10" x14ac:dyDescent="0.3">
      <c r="A165" s="62">
        <v>45093</v>
      </c>
      <c r="B165" s="63" t="s">
        <v>1051</v>
      </c>
      <c r="C165" s="64">
        <v>123456952</v>
      </c>
      <c r="D165" s="70" t="s">
        <v>213</v>
      </c>
      <c r="E165" s="111" t="s">
        <v>868</v>
      </c>
      <c r="F165" s="66">
        <v>517</v>
      </c>
      <c r="G165" s="67">
        <v>30</v>
      </c>
      <c r="H165" s="67">
        <v>15510</v>
      </c>
      <c r="I165" s="68">
        <v>123456789</v>
      </c>
      <c r="J165" s="69" t="s">
        <v>887</v>
      </c>
    </row>
    <row r="166" spans="1:10" x14ac:dyDescent="0.3">
      <c r="A166" s="62">
        <v>45094</v>
      </c>
      <c r="B166" s="63" t="s">
        <v>1052</v>
      </c>
      <c r="C166" s="64">
        <v>123456953</v>
      </c>
      <c r="D166" s="65" t="s">
        <v>214</v>
      </c>
      <c r="E166" s="53" t="s">
        <v>869</v>
      </c>
      <c r="F166" s="66">
        <v>696</v>
      </c>
      <c r="G166" s="67">
        <v>27</v>
      </c>
      <c r="H166" s="67">
        <v>18792</v>
      </c>
      <c r="I166" s="68">
        <v>123456789</v>
      </c>
      <c r="J166" s="69" t="s">
        <v>889</v>
      </c>
    </row>
    <row r="167" spans="1:10" x14ac:dyDescent="0.3">
      <c r="A167" s="62">
        <v>45095</v>
      </c>
      <c r="B167" s="63" t="s">
        <v>1053</v>
      </c>
      <c r="C167" s="64">
        <v>123456954</v>
      </c>
      <c r="D167" s="70" t="s">
        <v>215</v>
      </c>
      <c r="E167" s="111" t="s">
        <v>868</v>
      </c>
      <c r="F167" s="66">
        <v>771</v>
      </c>
      <c r="G167" s="67">
        <v>30</v>
      </c>
      <c r="H167" s="67">
        <v>23130</v>
      </c>
      <c r="I167" s="68">
        <v>123456789</v>
      </c>
      <c r="J167" s="69" t="s">
        <v>887</v>
      </c>
    </row>
    <row r="168" spans="1:10" x14ac:dyDescent="0.3">
      <c r="A168" s="62">
        <v>45096</v>
      </c>
      <c r="B168" s="63" t="s">
        <v>1054</v>
      </c>
      <c r="C168" s="64">
        <v>123456955</v>
      </c>
      <c r="D168" s="65" t="s">
        <v>216</v>
      </c>
      <c r="E168" s="53" t="s">
        <v>868</v>
      </c>
      <c r="F168" s="66">
        <v>646</v>
      </c>
      <c r="G168" s="67">
        <v>26</v>
      </c>
      <c r="H168" s="67">
        <v>16796</v>
      </c>
      <c r="I168" s="68">
        <v>123456789</v>
      </c>
      <c r="J168" s="69" t="s">
        <v>887</v>
      </c>
    </row>
    <row r="169" spans="1:10" x14ac:dyDescent="0.3">
      <c r="A169" s="62">
        <v>45097</v>
      </c>
      <c r="B169" s="63" t="s">
        <v>1055</v>
      </c>
      <c r="C169" s="64">
        <v>123456956</v>
      </c>
      <c r="D169" s="70" t="s">
        <v>217</v>
      </c>
      <c r="E169" s="111" t="s">
        <v>868</v>
      </c>
      <c r="F169" s="66">
        <v>966</v>
      </c>
      <c r="G169" s="67">
        <v>25</v>
      </c>
      <c r="H169" s="67">
        <v>24150</v>
      </c>
      <c r="I169" s="68">
        <v>123456789</v>
      </c>
      <c r="J169" s="69" t="s">
        <v>887</v>
      </c>
    </row>
    <row r="170" spans="1:10" x14ac:dyDescent="0.3">
      <c r="A170" s="62">
        <v>45098</v>
      </c>
      <c r="B170" s="63" t="s">
        <v>1056</v>
      </c>
      <c r="C170" s="64">
        <v>123456957</v>
      </c>
      <c r="D170" s="65" t="s">
        <v>218</v>
      </c>
      <c r="E170" s="53" t="s">
        <v>868</v>
      </c>
      <c r="F170" s="66">
        <v>955</v>
      </c>
      <c r="G170" s="67">
        <v>26</v>
      </c>
      <c r="H170" s="67">
        <v>24830</v>
      </c>
      <c r="I170" s="68">
        <v>123456789</v>
      </c>
      <c r="J170" s="69" t="s">
        <v>887</v>
      </c>
    </row>
    <row r="171" spans="1:10" x14ac:dyDescent="0.3">
      <c r="A171" s="62">
        <v>45099</v>
      </c>
      <c r="B171" s="63" t="s">
        <v>1057</v>
      </c>
      <c r="C171" s="64">
        <v>123456958</v>
      </c>
      <c r="D171" s="70" t="s">
        <v>219</v>
      </c>
      <c r="E171" s="111" t="s">
        <v>868</v>
      </c>
      <c r="F171" s="66">
        <v>910</v>
      </c>
      <c r="G171" s="67">
        <v>30</v>
      </c>
      <c r="H171" s="67">
        <v>27300</v>
      </c>
      <c r="I171" s="68">
        <v>123456789</v>
      </c>
      <c r="J171" s="69" t="s">
        <v>887</v>
      </c>
    </row>
    <row r="172" spans="1:10" x14ac:dyDescent="0.3">
      <c r="A172" s="62">
        <v>45100</v>
      </c>
      <c r="B172" s="63" t="s">
        <v>1058</v>
      </c>
      <c r="C172" s="64">
        <v>123456959</v>
      </c>
      <c r="D172" s="65" t="s">
        <v>220</v>
      </c>
      <c r="E172" s="53" t="s">
        <v>869</v>
      </c>
      <c r="F172" s="66">
        <v>945</v>
      </c>
      <c r="G172" s="67">
        <v>23</v>
      </c>
      <c r="H172" s="67">
        <v>21735</v>
      </c>
      <c r="I172" s="68">
        <v>123456789</v>
      </c>
      <c r="J172" s="69" t="s">
        <v>889</v>
      </c>
    </row>
    <row r="173" spans="1:10" x14ac:dyDescent="0.3">
      <c r="A173" s="62">
        <v>45101</v>
      </c>
      <c r="B173" s="63" t="s">
        <v>1059</v>
      </c>
      <c r="C173" s="64">
        <v>123456960</v>
      </c>
      <c r="D173" s="70" t="s">
        <v>221</v>
      </c>
      <c r="E173" s="111" t="s">
        <v>868</v>
      </c>
      <c r="F173" s="66">
        <v>563</v>
      </c>
      <c r="G173" s="67">
        <v>27</v>
      </c>
      <c r="H173" s="67">
        <v>15201</v>
      </c>
      <c r="I173" s="68">
        <v>123456789</v>
      </c>
      <c r="J173" s="69" t="s">
        <v>887</v>
      </c>
    </row>
    <row r="174" spans="1:10" x14ac:dyDescent="0.3">
      <c r="A174" s="62">
        <v>45102</v>
      </c>
      <c r="B174" s="63" t="s">
        <v>1060</v>
      </c>
      <c r="C174" s="64">
        <v>123456961</v>
      </c>
      <c r="D174" s="65" t="s">
        <v>222</v>
      </c>
      <c r="E174" s="53" t="s">
        <v>868</v>
      </c>
      <c r="F174" s="66">
        <v>727</v>
      </c>
      <c r="G174" s="67">
        <v>28</v>
      </c>
      <c r="H174" s="67">
        <v>20356</v>
      </c>
      <c r="I174" s="68">
        <v>123456789</v>
      </c>
      <c r="J174" s="69" t="s">
        <v>887</v>
      </c>
    </row>
    <row r="175" spans="1:10" x14ac:dyDescent="0.3">
      <c r="A175" s="62">
        <v>45103</v>
      </c>
      <c r="B175" s="63" t="s">
        <v>1061</v>
      </c>
      <c r="C175" s="64">
        <v>123456962</v>
      </c>
      <c r="D175" s="70" t="s">
        <v>223</v>
      </c>
      <c r="E175" s="111" t="s">
        <v>869</v>
      </c>
      <c r="F175" s="66">
        <v>649</v>
      </c>
      <c r="G175" s="67">
        <v>28</v>
      </c>
      <c r="H175" s="67">
        <v>18172</v>
      </c>
      <c r="I175" s="68">
        <v>123456789</v>
      </c>
      <c r="J175" s="69" t="s">
        <v>889</v>
      </c>
    </row>
    <row r="176" spans="1:10" x14ac:dyDescent="0.3">
      <c r="A176" s="62">
        <v>45104</v>
      </c>
      <c r="B176" s="63" t="s">
        <v>1062</v>
      </c>
      <c r="C176" s="64">
        <v>123456963</v>
      </c>
      <c r="D176" s="65" t="s">
        <v>224</v>
      </c>
      <c r="E176" s="53" t="s">
        <v>868</v>
      </c>
      <c r="F176" s="66">
        <v>668</v>
      </c>
      <c r="G176" s="67">
        <v>22</v>
      </c>
      <c r="H176" s="67">
        <v>14696</v>
      </c>
      <c r="I176" s="68">
        <v>123456789</v>
      </c>
      <c r="J176" s="69" t="s">
        <v>887</v>
      </c>
    </row>
    <row r="177" spans="1:10" x14ac:dyDescent="0.3">
      <c r="A177" s="62">
        <v>45105</v>
      </c>
      <c r="B177" s="63" t="s">
        <v>1063</v>
      </c>
      <c r="C177" s="64">
        <v>123456964</v>
      </c>
      <c r="D177" s="70" t="s">
        <v>225</v>
      </c>
      <c r="E177" s="111" t="s">
        <v>869</v>
      </c>
      <c r="F177" s="66">
        <v>819</v>
      </c>
      <c r="G177" s="67">
        <v>29</v>
      </c>
      <c r="H177" s="67">
        <v>23751</v>
      </c>
      <c r="I177" s="68">
        <v>123456789</v>
      </c>
      <c r="J177" s="69" t="s">
        <v>887</v>
      </c>
    </row>
    <row r="178" spans="1:10" x14ac:dyDescent="0.3">
      <c r="A178" s="62">
        <v>45106</v>
      </c>
      <c r="B178" s="63" t="s">
        <v>1064</v>
      </c>
      <c r="C178" s="64">
        <v>123456965</v>
      </c>
      <c r="D178" s="65" t="s">
        <v>226</v>
      </c>
      <c r="E178" s="53" t="s">
        <v>868</v>
      </c>
      <c r="F178" s="66">
        <v>510</v>
      </c>
      <c r="G178" s="67">
        <v>26</v>
      </c>
      <c r="H178" s="67">
        <v>13260</v>
      </c>
      <c r="I178" s="68">
        <v>123456789</v>
      </c>
      <c r="J178" s="69" t="s">
        <v>887</v>
      </c>
    </row>
    <row r="179" spans="1:10" x14ac:dyDescent="0.3">
      <c r="A179" s="62">
        <v>45107</v>
      </c>
      <c r="B179" s="63" t="s">
        <v>1065</v>
      </c>
      <c r="C179" s="64">
        <v>123456966</v>
      </c>
      <c r="D179" s="70" t="s">
        <v>227</v>
      </c>
      <c r="E179" s="111" t="s">
        <v>868</v>
      </c>
      <c r="F179" s="66">
        <v>755</v>
      </c>
      <c r="G179" s="67">
        <v>28</v>
      </c>
      <c r="H179" s="67">
        <v>21140</v>
      </c>
      <c r="I179" s="68">
        <v>123456789</v>
      </c>
      <c r="J179" s="69" t="s">
        <v>887</v>
      </c>
    </row>
    <row r="180" spans="1:10" x14ac:dyDescent="0.3">
      <c r="A180" s="62">
        <v>45108</v>
      </c>
      <c r="B180" s="63" t="s">
        <v>1066</v>
      </c>
      <c r="C180" s="64">
        <v>123456967</v>
      </c>
      <c r="D180" s="65" t="s">
        <v>228</v>
      </c>
      <c r="E180" s="53" t="s">
        <v>868</v>
      </c>
      <c r="F180" s="66">
        <v>654</v>
      </c>
      <c r="G180" s="67">
        <v>30</v>
      </c>
      <c r="H180" s="67">
        <v>19620</v>
      </c>
      <c r="I180" s="68">
        <v>123456789</v>
      </c>
      <c r="J180" s="69" t="s">
        <v>887</v>
      </c>
    </row>
    <row r="181" spans="1:10" x14ac:dyDescent="0.3">
      <c r="A181" s="62">
        <v>45109</v>
      </c>
      <c r="B181" s="63" t="s">
        <v>1067</v>
      </c>
      <c r="C181" s="64">
        <v>123456968</v>
      </c>
      <c r="D181" s="70" t="s">
        <v>229</v>
      </c>
      <c r="E181" s="111" t="s">
        <v>868</v>
      </c>
      <c r="F181" s="66">
        <v>953</v>
      </c>
      <c r="G181" s="67">
        <v>23</v>
      </c>
      <c r="H181" s="67">
        <v>21919</v>
      </c>
      <c r="I181" s="68">
        <v>123456789</v>
      </c>
      <c r="J181" s="69" t="s">
        <v>889</v>
      </c>
    </row>
    <row r="182" spans="1:10" x14ac:dyDescent="0.3">
      <c r="A182" s="62">
        <v>45110</v>
      </c>
      <c r="B182" s="63" t="s">
        <v>1068</v>
      </c>
      <c r="C182" s="64">
        <v>123456969</v>
      </c>
      <c r="D182" s="65" t="s">
        <v>230</v>
      </c>
      <c r="E182" s="53" t="s">
        <v>869</v>
      </c>
      <c r="F182" s="66">
        <v>961</v>
      </c>
      <c r="G182" s="67">
        <v>27</v>
      </c>
      <c r="H182" s="67">
        <v>25947</v>
      </c>
      <c r="I182" s="68">
        <v>123456789</v>
      </c>
      <c r="J182" s="69" t="s">
        <v>887</v>
      </c>
    </row>
    <row r="183" spans="1:10" x14ac:dyDescent="0.3">
      <c r="A183" s="62">
        <v>45111</v>
      </c>
      <c r="B183" s="63" t="s">
        <v>1069</v>
      </c>
      <c r="C183" s="64">
        <v>123456970</v>
      </c>
      <c r="D183" s="70" t="s">
        <v>231</v>
      </c>
      <c r="E183" s="111" t="s">
        <v>868</v>
      </c>
      <c r="F183" s="66">
        <v>641</v>
      </c>
      <c r="G183" s="67">
        <v>26</v>
      </c>
      <c r="H183" s="67">
        <v>16666</v>
      </c>
      <c r="I183" s="68">
        <v>123456789</v>
      </c>
      <c r="J183" s="69" t="s">
        <v>887</v>
      </c>
    </row>
    <row r="184" spans="1:10" x14ac:dyDescent="0.3">
      <c r="A184" s="62">
        <v>45112</v>
      </c>
      <c r="B184" s="63" t="s">
        <v>1070</v>
      </c>
      <c r="C184" s="64">
        <v>123456971</v>
      </c>
      <c r="D184" s="65" t="s">
        <v>232</v>
      </c>
      <c r="E184" s="53" t="s">
        <v>868</v>
      </c>
      <c r="F184" s="66">
        <v>586</v>
      </c>
      <c r="G184" s="67">
        <v>25</v>
      </c>
      <c r="H184" s="67">
        <v>14650</v>
      </c>
      <c r="I184" s="68">
        <v>123456789</v>
      </c>
      <c r="J184" s="69" t="s">
        <v>887</v>
      </c>
    </row>
    <row r="185" spans="1:10" x14ac:dyDescent="0.3">
      <c r="A185" s="62">
        <v>45113</v>
      </c>
      <c r="B185" s="63" t="s">
        <v>1071</v>
      </c>
      <c r="C185" s="64">
        <v>123456972</v>
      </c>
      <c r="D185" s="70" t="s">
        <v>233</v>
      </c>
      <c r="E185" s="111" t="s">
        <v>869</v>
      </c>
      <c r="F185" s="66">
        <v>937</v>
      </c>
      <c r="G185" s="67">
        <v>25</v>
      </c>
      <c r="H185" s="67">
        <v>23425</v>
      </c>
      <c r="I185" s="68">
        <v>123456789</v>
      </c>
      <c r="J185" s="69" t="s">
        <v>887</v>
      </c>
    </row>
    <row r="186" spans="1:10" x14ac:dyDescent="0.3">
      <c r="A186" s="62">
        <v>45114</v>
      </c>
      <c r="B186" s="63" t="s">
        <v>1072</v>
      </c>
      <c r="C186" s="64">
        <v>123456973</v>
      </c>
      <c r="D186" s="65" t="s">
        <v>234</v>
      </c>
      <c r="E186" s="53" t="s">
        <v>868</v>
      </c>
      <c r="F186" s="66">
        <v>676</v>
      </c>
      <c r="G186" s="67">
        <v>22</v>
      </c>
      <c r="H186" s="67">
        <v>14872</v>
      </c>
      <c r="I186" s="68">
        <v>123456789</v>
      </c>
      <c r="J186" s="69" t="s">
        <v>887</v>
      </c>
    </row>
    <row r="187" spans="1:10" x14ac:dyDescent="0.3">
      <c r="A187" s="62">
        <v>45115</v>
      </c>
      <c r="B187" s="63" t="s">
        <v>1073</v>
      </c>
      <c r="C187" s="64">
        <v>123456974</v>
      </c>
      <c r="D187" s="70" t="s">
        <v>235</v>
      </c>
      <c r="E187" s="111" t="s">
        <v>868</v>
      </c>
      <c r="F187" s="66">
        <v>824</v>
      </c>
      <c r="G187" s="67">
        <v>31</v>
      </c>
      <c r="H187" s="67">
        <v>25544</v>
      </c>
      <c r="I187" s="68">
        <v>123456789</v>
      </c>
      <c r="J187" s="69" t="s">
        <v>889</v>
      </c>
    </row>
    <row r="188" spans="1:10" x14ac:dyDescent="0.3">
      <c r="A188" s="62">
        <v>45116</v>
      </c>
      <c r="B188" s="63" t="s">
        <v>1074</v>
      </c>
      <c r="C188" s="64">
        <v>123456975</v>
      </c>
      <c r="D188" s="65" t="s">
        <v>236</v>
      </c>
      <c r="E188" s="53" t="s">
        <v>869</v>
      </c>
      <c r="F188" s="66">
        <v>867</v>
      </c>
      <c r="G188" s="67">
        <v>24</v>
      </c>
      <c r="H188" s="67">
        <v>20808</v>
      </c>
      <c r="I188" s="68">
        <v>123456789</v>
      </c>
      <c r="J188" s="69" t="s">
        <v>889</v>
      </c>
    </row>
    <row r="189" spans="1:10" x14ac:dyDescent="0.3">
      <c r="A189" s="62">
        <v>45117</v>
      </c>
      <c r="B189" s="63" t="s">
        <v>1075</v>
      </c>
      <c r="C189" s="64">
        <v>123456976</v>
      </c>
      <c r="D189" s="70" t="s">
        <v>237</v>
      </c>
      <c r="E189" s="111" t="s">
        <v>868</v>
      </c>
      <c r="F189" s="66">
        <v>505</v>
      </c>
      <c r="G189" s="67">
        <v>29</v>
      </c>
      <c r="H189" s="67">
        <v>14645</v>
      </c>
      <c r="I189" s="68">
        <v>123456789</v>
      </c>
      <c r="J189" s="69" t="s">
        <v>887</v>
      </c>
    </row>
    <row r="190" spans="1:10" x14ac:dyDescent="0.3">
      <c r="A190" s="62">
        <v>45118</v>
      </c>
      <c r="B190" s="63" t="s">
        <v>1076</v>
      </c>
      <c r="C190" s="64">
        <v>123456977</v>
      </c>
      <c r="D190" s="65" t="s">
        <v>238</v>
      </c>
      <c r="E190" s="53" t="s">
        <v>869</v>
      </c>
      <c r="F190" s="66">
        <v>705</v>
      </c>
      <c r="G190" s="67">
        <v>29</v>
      </c>
      <c r="H190" s="67">
        <v>20445</v>
      </c>
      <c r="I190" s="68">
        <v>123456789</v>
      </c>
      <c r="J190" s="69" t="s">
        <v>889</v>
      </c>
    </row>
    <row r="191" spans="1:10" x14ac:dyDescent="0.3">
      <c r="A191" s="62">
        <v>45119</v>
      </c>
      <c r="B191" s="63" t="s">
        <v>1077</v>
      </c>
      <c r="C191" s="64">
        <v>123456978</v>
      </c>
      <c r="D191" s="70" t="s">
        <v>239</v>
      </c>
      <c r="E191" s="111" t="s">
        <v>869</v>
      </c>
      <c r="F191" s="66">
        <v>543</v>
      </c>
      <c r="G191" s="67">
        <v>21</v>
      </c>
      <c r="H191" s="67">
        <v>11403</v>
      </c>
      <c r="I191" s="68">
        <v>123456789</v>
      </c>
      <c r="J191" s="69" t="s">
        <v>887</v>
      </c>
    </row>
    <row r="192" spans="1:10" x14ac:dyDescent="0.3">
      <c r="A192" s="62">
        <v>45120</v>
      </c>
      <c r="B192" s="63" t="s">
        <v>1078</v>
      </c>
      <c r="C192" s="64">
        <v>123456979</v>
      </c>
      <c r="D192" s="65" t="s">
        <v>240</v>
      </c>
      <c r="E192" s="53" t="s">
        <v>868</v>
      </c>
      <c r="F192" s="66">
        <v>784</v>
      </c>
      <c r="G192" s="67">
        <v>28</v>
      </c>
      <c r="H192" s="67">
        <v>21952</v>
      </c>
      <c r="I192" s="68">
        <v>123456789</v>
      </c>
      <c r="J192" s="69" t="s">
        <v>887</v>
      </c>
    </row>
    <row r="193" spans="1:10" x14ac:dyDescent="0.3">
      <c r="A193" s="62">
        <v>45121</v>
      </c>
      <c r="B193" s="63" t="s">
        <v>1079</v>
      </c>
      <c r="C193" s="64">
        <v>123456980</v>
      </c>
      <c r="D193" s="70" t="s">
        <v>241</v>
      </c>
      <c r="E193" s="111" t="s">
        <v>868</v>
      </c>
      <c r="F193" s="66">
        <v>712</v>
      </c>
      <c r="G193" s="67">
        <v>31</v>
      </c>
      <c r="H193" s="67">
        <v>22072</v>
      </c>
      <c r="I193" s="68">
        <v>123456789</v>
      </c>
      <c r="J193" s="69" t="s">
        <v>887</v>
      </c>
    </row>
    <row r="194" spans="1:10" x14ac:dyDescent="0.3">
      <c r="A194" s="62">
        <v>45122</v>
      </c>
      <c r="B194" s="63" t="s">
        <v>1080</v>
      </c>
      <c r="C194" s="64">
        <v>123456981</v>
      </c>
      <c r="D194" s="65" t="s">
        <v>242</v>
      </c>
      <c r="E194" s="53" t="s">
        <v>868</v>
      </c>
      <c r="F194" s="66">
        <v>635</v>
      </c>
      <c r="G194" s="67">
        <v>21</v>
      </c>
      <c r="H194" s="67">
        <v>13335</v>
      </c>
      <c r="I194" s="68">
        <v>123456789</v>
      </c>
      <c r="J194" s="69" t="s">
        <v>887</v>
      </c>
    </row>
    <row r="195" spans="1:10" x14ac:dyDescent="0.3">
      <c r="A195" s="62">
        <v>45123</v>
      </c>
      <c r="B195" s="63" t="s">
        <v>1081</v>
      </c>
      <c r="C195" s="64">
        <v>123456982</v>
      </c>
      <c r="D195" s="70" t="s">
        <v>243</v>
      </c>
      <c r="E195" s="111" t="s">
        <v>868</v>
      </c>
      <c r="F195" s="66">
        <v>510</v>
      </c>
      <c r="G195" s="67">
        <v>31</v>
      </c>
      <c r="H195" s="67">
        <v>15810</v>
      </c>
      <c r="I195" s="68">
        <v>123456789</v>
      </c>
      <c r="J195" s="69" t="s">
        <v>887</v>
      </c>
    </row>
    <row r="196" spans="1:10" x14ac:dyDescent="0.3">
      <c r="A196" s="62">
        <v>45124</v>
      </c>
      <c r="B196" s="63" t="s">
        <v>1082</v>
      </c>
      <c r="C196" s="64">
        <v>123456983</v>
      </c>
      <c r="D196" s="65" t="s">
        <v>244</v>
      </c>
      <c r="E196" s="53" t="s">
        <v>868</v>
      </c>
      <c r="F196" s="66">
        <v>664</v>
      </c>
      <c r="G196" s="67">
        <v>27</v>
      </c>
      <c r="H196" s="67">
        <v>17928</v>
      </c>
      <c r="I196" s="68">
        <v>123456789</v>
      </c>
      <c r="J196" s="69" t="s">
        <v>887</v>
      </c>
    </row>
    <row r="197" spans="1:10" x14ac:dyDescent="0.3">
      <c r="A197" s="62">
        <v>45125</v>
      </c>
      <c r="B197" s="63" t="s">
        <v>1083</v>
      </c>
      <c r="C197" s="64">
        <v>123456984</v>
      </c>
      <c r="D197" s="70" t="s">
        <v>245</v>
      </c>
      <c r="E197" s="111" t="s">
        <v>869</v>
      </c>
      <c r="F197" s="66">
        <v>882</v>
      </c>
      <c r="G197" s="67">
        <v>21</v>
      </c>
      <c r="H197" s="67">
        <v>18522</v>
      </c>
      <c r="I197" s="68">
        <v>123456789</v>
      </c>
      <c r="J197" s="69" t="s">
        <v>887</v>
      </c>
    </row>
    <row r="198" spans="1:10" x14ac:dyDescent="0.3">
      <c r="A198" s="62">
        <v>45126</v>
      </c>
      <c r="B198" s="63" t="s">
        <v>1084</v>
      </c>
      <c r="C198" s="64">
        <v>123456985</v>
      </c>
      <c r="D198" s="65" t="s">
        <v>246</v>
      </c>
      <c r="E198" s="53" t="s">
        <v>868</v>
      </c>
      <c r="F198" s="66">
        <v>765</v>
      </c>
      <c r="G198" s="67">
        <v>21</v>
      </c>
      <c r="H198" s="67">
        <v>16065</v>
      </c>
      <c r="I198" s="68">
        <v>123456789</v>
      </c>
      <c r="J198" s="69" t="s">
        <v>887</v>
      </c>
    </row>
    <row r="199" spans="1:10" x14ac:dyDescent="0.3">
      <c r="A199" s="62">
        <v>45127</v>
      </c>
      <c r="B199" s="63" t="s">
        <v>1085</v>
      </c>
      <c r="C199" s="64">
        <v>123456986</v>
      </c>
      <c r="D199" s="70" t="s">
        <v>247</v>
      </c>
      <c r="E199" s="111" t="s">
        <v>868</v>
      </c>
      <c r="F199" s="66">
        <v>915</v>
      </c>
      <c r="G199" s="67">
        <v>28</v>
      </c>
      <c r="H199" s="67">
        <v>25620</v>
      </c>
      <c r="I199" s="68">
        <v>123456789</v>
      </c>
      <c r="J199" s="69" t="s">
        <v>887</v>
      </c>
    </row>
    <row r="200" spans="1:10" x14ac:dyDescent="0.3">
      <c r="A200" s="62">
        <v>45128</v>
      </c>
      <c r="B200" s="63" t="s">
        <v>1086</v>
      </c>
      <c r="C200" s="64">
        <v>123456987</v>
      </c>
      <c r="D200" s="65" t="s">
        <v>248</v>
      </c>
      <c r="E200" s="53" t="s">
        <v>869</v>
      </c>
      <c r="F200" s="66">
        <v>705</v>
      </c>
      <c r="G200" s="67">
        <v>31</v>
      </c>
      <c r="H200" s="67">
        <v>21855</v>
      </c>
      <c r="I200" s="68">
        <v>123456789</v>
      </c>
      <c r="J200" s="69" t="s">
        <v>889</v>
      </c>
    </row>
    <row r="201" spans="1:10" x14ac:dyDescent="0.3">
      <c r="A201" s="62">
        <v>45129</v>
      </c>
      <c r="B201" s="63" t="s">
        <v>1087</v>
      </c>
      <c r="C201" s="64">
        <v>123456988</v>
      </c>
      <c r="D201" s="70" t="s">
        <v>249</v>
      </c>
      <c r="E201" s="111" t="s">
        <v>869</v>
      </c>
      <c r="F201" s="66">
        <v>877</v>
      </c>
      <c r="G201" s="67">
        <v>21</v>
      </c>
      <c r="H201" s="67">
        <v>18417</v>
      </c>
      <c r="I201" s="68">
        <v>123456789</v>
      </c>
      <c r="J201" s="69" t="s">
        <v>887</v>
      </c>
    </row>
    <row r="202" spans="1:10" x14ac:dyDescent="0.3">
      <c r="A202" s="62">
        <v>45130</v>
      </c>
      <c r="B202" s="63" t="s">
        <v>1088</v>
      </c>
      <c r="C202" s="64">
        <v>123456989</v>
      </c>
      <c r="D202" s="65" t="s">
        <v>250</v>
      </c>
      <c r="E202" s="53" t="s">
        <v>868</v>
      </c>
      <c r="F202" s="66">
        <v>642</v>
      </c>
      <c r="G202" s="67">
        <v>26</v>
      </c>
      <c r="H202" s="67">
        <v>16692</v>
      </c>
      <c r="I202" s="68">
        <v>123456789</v>
      </c>
      <c r="J202" s="69" t="s">
        <v>887</v>
      </c>
    </row>
    <row r="203" spans="1:10" x14ac:dyDescent="0.3">
      <c r="A203" s="62">
        <v>45131</v>
      </c>
      <c r="B203" s="63" t="s">
        <v>1089</v>
      </c>
      <c r="C203" s="64">
        <v>123456990</v>
      </c>
      <c r="D203" s="70" t="s">
        <v>251</v>
      </c>
      <c r="E203" s="111" t="s">
        <v>868</v>
      </c>
      <c r="F203" s="66">
        <v>632</v>
      </c>
      <c r="G203" s="67">
        <v>21</v>
      </c>
      <c r="H203" s="67">
        <v>13272</v>
      </c>
      <c r="I203" s="68">
        <v>123456789</v>
      </c>
      <c r="J203" s="69" t="s">
        <v>887</v>
      </c>
    </row>
    <row r="204" spans="1:10" x14ac:dyDescent="0.3">
      <c r="A204" s="62">
        <v>45132</v>
      </c>
      <c r="B204" s="63" t="s">
        <v>1090</v>
      </c>
      <c r="C204" s="64">
        <v>123456991</v>
      </c>
      <c r="D204" s="65" t="s">
        <v>252</v>
      </c>
      <c r="E204" s="53" t="s">
        <v>868</v>
      </c>
      <c r="F204" s="66">
        <v>529</v>
      </c>
      <c r="G204" s="67">
        <v>30</v>
      </c>
      <c r="H204" s="67">
        <v>15870</v>
      </c>
      <c r="I204" s="68">
        <v>123456789</v>
      </c>
      <c r="J204" s="69" t="s">
        <v>887</v>
      </c>
    </row>
    <row r="205" spans="1:10" x14ac:dyDescent="0.3">
      <c r="A205" s="62">
        <v>45133</v>
      </c>
      <c r="B205" s="63" t="s">
        <v>1091</v>
      </c>
      <c r="C205" s="64">
        <v>123456992</v>
      </c>
      <c r="D205" s="70" t="s">
        <v>253</v>
      </c>
      <c r="E205" s="111" t="s">
        <v>868</v>
      </c>
      <c r="F205" s="66">
        <v>888</v>
      </c>
      <c r="G205" s="67">
        <v>23</v>
      </c>
      <c r="H205" s="67">
        <v>20424</v>
      </c>
      <c r="I205" s="68">
        <v>123456789</v>
      </c>
      <c r="J205" s="69" t="s">
        <v>887</v>
      </c>
    </row>
    <row r="206" spans="1:10" x14ac:dyDescent="0.3">
      <c r="A206" s="62">
        <v>45134</v>
      </c>
      <c r="B206" s="63" t="s">
        <v>1092</v>
      </c>
      <c r="C206" s="64">
        <v>123456993</v>
      </c>
      <c r="D206" s="65" t="s">
        <v>254</v>
      </c>
      <c r="E206" s="53" t="s">
        <v>868</v>
      </c>
      <c r="F206" s="66">
        <v>901</v>
      </c>
      <c r="G206" s="67">
        <v>28</v>
      </c>
      <c r="H206" s="67">
        <v>25228</v>
      </c>
      <c r="I206" s="68">
        <v>123456789</v>
      </c>
      <c r="J206" s="69" t="s">
        <v>889</v>
      </c>
    </row>
    <row r="207" spans="1:10" x14ac:dyDescent="0.3">
      <c r="A207" s="62">
        <v>45135</v>
      </c>
      <c r="B207" s="63" t="s">
        <v>1093</v>
      </c>
      <c r="C207" s="64">
        <v>123456994</v>
      </c>
      <c r="D207" s="70" t="s">
        <v>255</v>
      </c>
      <c r="E207" s="111" t="s">
        <v>869</v>
      </c>
      <c r="F207" s="66">
        <v>728</v>
      </c>
      <c r="G207" s="67">
        <v>23</v>
      </c>
      <c r="H207" s="67">
        <v>16744</v>
      </c>
      <c r="I207" s="68">
        <v>123456789</v>
      </c>
      <c r="J207" s="69" t="s">
        <v>887</v>
      </c>
    </row>
    <row r="208" spans="1:10" x14ac:dyDescent="0.3">
      <c r="A208" s="62">
        <v>45136</v>
      </c>
      <c r="B208" s="63" t="s">
        <v>1094</v>
      </c>
      <c r="C208" s="64">
        <v>123456995</v>
      </c>
      <c r="D208" s="65" t="s">
        <v>256</v>
      </c>
      <c r="E208" s="53" t="s">
        <v>869</v>
      </c>
      <c r="F208" s="66">
        <v>679</v>
      </c>
      <c r="G208" s="67">
        <v>26</v>
      </c>
      <c r="H208" s="67">
        <v>17654</v>
      </c>
      <c r="I208" s="68">
        <v>123456789</v>
      </c>
      <c r="J208" s="69" t="s">
        <v>889</v>
      </c>
    </row>
    <row r="209" spans="1:10" x14ac:dyDescent="0.3">
      <c r="A209" s="62">
        <v>45137</v>
      </c>
      <c r="B209" s="63" t="s">
        <v>1095</v>
      </c>
      <c r="C209" s="64">
        <v>123456996</v>
      </c>
      <c r="D209" s="70" t="s">
        <v>257</v>
      </c>
      <c r="E209" s="111" t="s">
        <v>868</v>
      </c>
      <c r="F209" s="66">
        <v>743</v>
      </c>
      <c r="G209" s="67">
        <v>29</v>
      </c>
      <c r="H209" s="67">
        <v>21547</v>
      </c>
      <c r="I209" s="68">
        <v>123456789</v>
      </c>
      <c r="J209" s="69" t="s">
        <v>887</v>
      </c>
    </row>
    <row r="210" spans="1:10" x14ac:dyDescent="0.3">
      <c r="A210" s="62">
        <v>45138</v>
      </c>
      <c r="B210" s="63" t="s">
        <v>1096</v>
      </c>
      <c r="C210" s="64">
        <v>123456997</v>
      </c>
      <c r="D210" s="65" t="s">
        <v>258</v>
      </c>
      <c r="E210" s="53" t="s">
        <v>868</v>
      </c>
      <c r="F210" s="66">
        <v>907</v>
      </c>
      <c r="G210" s="67">
        <v>24</v>
      </c>
      <c r="H210" s="67">
        <v>21768</v>
      </c>
      <c r="I210" s="68">
        <v>123456789</v>
      </c>
      <c r="J210" s="69" t="s">
        <v>887</v>
      </c>
    </row>
    <row r="211" spans="1:10" x14ac:dyDescent="0.3">
      <c r="A211" s="62">
        <v>45139</v>
      </c>
      <c r="B211" s="63" t="s">
        <v>1097</v>
      </c>
      <c r="C211" s="64">
        <v>123456998</v>
      </c>
      <c r="D211" s="70" t="s">
        <v>259</v>
      </c>
      <c r="E211" s="111" t="s">
        <v>868</v>
      </c>
      <c r="F211" s="66">
        <v>714</v>
      </c>
      <c r="G211" s="67">
        <v>27</v>
      </c>
      <c r="H211" s="67">
        <v>19278</v>
      </c>
      <c r="I211" s="68">
        <v>123456789</v>
      </c>
      <c r="J211" s="69" t="s">
        <v>887</v>
      </c>
    </row>
    <row r="212" spans="1:10" x14ac:dyDescent="0.3">
      <c r="A212" s="62">
        <v>45140</v>
      </c>
      <c r="B212" s="63" t="s">
        <v>1098</v>
      </c>
      <c r="C212" s="64">
        <v>123456999</v>
      </c>
      <c r="D212" s="65" t="s">
        <v>260</v>
      </c>
      <c r="E212" s="53" t="s">
        <v>869</v>
      </c>
      <c r="F212" s="66">
        <v>983</v>
      </c>
      <c r="G212" s="67">
        <v>24</v>
      </c>
      <c r="H212" s="67">
        <v>23592</v>
      </c>
      <c r="I212" s="68">
        <v>123456789</v>
      </c>
      <c r="J212" s="69" t="s">
        <v>887</v>
      </c>
    </row>
    <row r="213" spans="1:10" x14ac:dyDescent="0.3">
      <c r="A213" s="62">
        <v>45141</v>
      </c>
      <c r="B213" s="63" t="s">
        <v>1099</v>
      </c>
      <c r="C213" s="64">
        <v>123457000</v>
      </c>
      <c r="D213" s="70" t="s">
        <v>261</v>
      </c>
      <c r="E213" s="111" t="s">
        <v>868</v>
      </c>
      <c r="F213" s="66">
        <v>569</v>
      </c>
      <c r="G213" s="67">
        <v>29</v>
      </c>
      <c r="H213" s="67">
        <v>16501</v>
      </c>
      <c r="I213" s="68">
        <v>123456789</v>
      </c>
      <c r="J213" s="69" t="s">
        <v>889</v>
      </c>
    </row>
    <row r="214" spans="1:10" x14ac:dyDescent="0.3">
      <c r="A214" s="62">
        <v>45142</v>
      </c>
      <c r="B214" s="63" t="s">
        <v>1100</v>
      </c>
      <c r="C214" s="64">
        <v>123457001</v>
      </c>
      <c r="D214" s="65" t="s">
        <v>262</v>
      </c>
      <c r="E214" s="53" t="s">
        <v>868</v>
      </c>
      <c r="F214" s="66">
        <v>860</v>
      </c>
      <c r="G214" s="67">
        <v>31</v>
      </c>
      <c r="H214" s="67">
        <v>26660</v>
      </c>
      <c r="I214" s="68">
        <v>123456789</v>
      </c>
      <c r="J214" s="69" t="s">
        <v>889</v>
      </c>
    </row>
    <row r="215" spans="1:10" x14ac:dyDescent="0.3">
      <c r="A215" s="62">
        <v>45143</v>
      </c>
      <c r="B215" s="63" t="s">
        <v>1101</v>
      </c>
      <c r="C215" s="64">
        <v>123457002</v>
      </c>
      <c r="D215" s="70" t="s">
        <v>263</v>
      </c>
      <c r="E215" s="111" t="s">
        <v>868</v>
      </c>
      <c r="F215" s="66">
        <v>609</v>
      </c>
      <c r="G215" s="67">
        <v>30</v>
      </c>
      <c r="H215" s="67">
        <v>18270</v>
      </c>
      <c r="I215" s="68">
        <v>123456789</v>
      </c>
      <c r="J215" s="69" t="s">
        <v>887</v>
      </c>
    </row>
    <row r="216" spans="1:10" x14ac:dyDescent="0.3">
      <c r="A216" s="62">
        <v>45144</v>
      </c>
      <c r="B216" s="63" t="s">
        <v>1102</v>
      </c>
      <c r="C216" s="64">
        <v>123457003</v>
      </c>
      <c r="D216" s="65" t="s">
        <v>264</v>
      </c>
      <c r="E216" s="53" t="s">
        <v>868</v>
      </c>
      <c r="F216" s="66">
        <v>718</v>
      </c>
      <c r="G216" s="67">
        <v>26</v>
      </c>
      <c r="H216" s="67">
        <v>18668</v>
      </c>
      <c r="I216" s="68">
        <v>123456789</v>
      </c>
      <c r="J216" s="69" t="s">
        <v>887</v>
      </c>
    </row>
    <row r="217" spans="1:10" x14ac:dyDescent="0.3">
      <c r="A217" s="62">
        <v>45145</v>
      </c>
      <c r="B217" s="63" t="s">
        <v>1103</v>
      </c>
      <c r="C217" s="64">
        <v>123457004</v>
      </c>
      <c r="D217" s="70" t="s">
        <v>265</v>
      </c>
      <c r="E217" s="111" t="s">
        <v>869</v>
      </c>
      <c r="F217" s="66">
        <v>694</v>
      </c>
      <c r="G217" s="67">
        <v>27</v>
      </c>
      <c r="H217" s="67">
        <v>18738</v>
      </c>
      <c r="I217" s="68">
        <v>123456789</v>
      </c>
      <c r="J217" s="69" t="s">
        <v>887</v>
      </c>
    </row>
    <row r="218" spans="1:10" x14ac:dyDescent="0.3">
      <c r="A218" s="62">
        <v>45146</v>
      </c>
      <c r="B218" s="63" t="s">
        <v>1104</v>
      </c>
      <c r="C218" s="64">
        <v>123457005</v>
      </c>
      <c r="D218" s="65" t="s">
        <v>266</v>
      </c>
      <c r="E218" s="53" t="s">
        <v>868</v>
      </c>
      <c r="F218" s="66">
        <v>555</v>
      </c>
      <c r="G218" s="67">
        <v>21</v>
      </c>
      <c r="H218" s="67">
        <v>11655</v>
      </c>
      <c r="I218" s="68">
        <v>123456789</v>
      </c>
      <c r="J218" s="69" t="s">
        <v>887</v>
      </c>
    </row>
    <row r="219" spans="1:10" x14ac:dyDescent="0.3">
      <c r="A219" s="62">
        <v>45147</v>
      </c>
      <c r="B219" s="63" t="s">
        <v>1105</v>
      </c>
      <c r="C219" s="64">
        <v>123457006</v>
      </c>
      <c r="D219" s="70" t="s">
        <v>267</v>
      </c>
      <c r="E219" s="111" t="s">
        <v>868</v>
      </c>
      <c r="F219" s="66">
        <v>531</v>
      </c>
      <c r="G219" s="67">
        <v>28</v>
      </c>
      <c r="H219" s="67">
        <v>14868</v>
      </c>
      <c r="I219" s="68">
        <v>123456789</v>
      </c>
      <c r="J219" s="69" t="s">
        <v>887</v>
      </c>
    </row>
    <row r="220" spans="1:10" x14ac:dyDescent="0.3">
      <c r="A220" s="62">
        <v>45148</v>
      </c>
      <c r="B220" s="63" t="s">
        <v>1106</v>
      </c>
      <c r="C220" s="64">
        <v>123457007</v>
      </c>
      <c r="D220" s="65" t="s">
        <v>268</v>
      </c>
      <c r="E220" s="53" t="s">
        <v>868</v>
      </c>
      <c r="F220" s="66">
        <v>534</v>
      </c>
      <c r="G220" s="67">
        <v>22</v>
      </c>
      <c r="H220" s="67">
        <v>11748</v>
      </c>
      <c r="I220" s="68">
        <v>123456789</v>
      </c>
      <c r="J220" s="69" t="s">
        <v>889</v>
      </c>
    </row>
    <row r="221" spans="1:10" x14ac:dyDescent="0.3">
      <c r="A221" s="62">
        <v>45149</v>
      </c>
      <c r="B221" s="63" t="s">
        <v>1107</v>
      </c>
      <c r="C221" s="64">
        <v>123457008</v>
      </c>
      <c r="D221" s="70" t="s">
        <v>269</v>
      </c>
      <c r="E221" s="111" t="s">
        <v>868</v>
      </c>
      <c r="F221" s="66">
        <v>576</v>
      </c>
      <c r="G221" s="67">
        <v>22</v>
      </c>
      <c r="H221" s="67">
        <v>12672</v>
      </c>
      <c r="I221" s="68">
        <v>123456789</v>
      </c>
      <c r="J221" s="69" t="s">
        <v>887</v>
      </c>
    </row>
    <row r="222" spans="1:10" x14ac:dyDescent="0.3">
      <c r="A222" s="62">
        <v>45150</v>
      </c>
      <c r="B222" s="63" t="s">
        <v>1108</v>
      </c>
      <c r="C222" s="64">
        <v>123457009</v>
      </c>
      <c r="D222" s="65" t="s">
        <v>270</v>
      </c>
      <c r="E222" s="53" t="s">
        <v>868</v>
      </c>
      <c r="F222" s="66">
        <v>690</v>
      </c>
      <c r="G222" s="67">
        <v>25</v>
      </c>
      <c r="H222" s="67">
        <v>17250</v>
      </c>
      <c r="I222" s="68">
        <v>123456789</v>
      </c>
      <c r="J222" s="69" t="s">
        <v>887</v>
      </c>
    </row>
    <row r="223" spans="1:10" x14ac:dyDescent="0.3">
      <c r="A223" s="62">
        <v>45151</v>
      </c>
      <c r="B223" s="63" t="s">
        <v>1109</v>
      </c>
      <c r="C223" s="64">
        <v>123457010</v>
      </c>
      <c r="D223" s="70" t="s">
        <v>271</v>
      </c>
      <c r="E223" s="111" t="s">
        <v>868</v>
      </c>
      <c r="F223" s="66">
        <v>511</v>
      </c>
      <c r="G223" s="67">
        <v>23</v>
      </c>
      <c r="H223" s="67">
        <v>11753</v>
      </c>
      <c r="I223" s="68">
        <v>123456789</v>
      </c>
      <c r="J223" s="69" t="s">
        <v>887</v>
      </c>
    </row>
    <row r="224" spans="1:10" x14ac:dyDescent="0.3">
      <c r="A224" s="62">
        <v>45152</v>
      </c>
      <c r="B224" s="63" t="s">
        <v>1110</v>
      </c>
      <c r="C224" s="64">
        <v>123457011</v>
      </c>
      <c r="D224" s="65" t="s">
        <v>272</v>
      </c>
      <c r="E224" s="53" t="s">
        <v>869</v>
      </c>
      <c r="F224" s="66">
        <v>616</v>
      </c>
      <c r="G224" s="67">
        <v>29</v>
      </c>
      <c r="H224" s="67">
        <v>17864</v>
      </c>
      <c r="I224" s="68">
        <v>123456789</v>
      </c>
      <c r="J224" s="69" t="s">
        <v>889</v>
      </c>
    </row>
    <row r="225" spans="1:10" x14ac:dyDescent="0.3">
      <c r="A225" s="62">
        <v>45153</v>
      </c>
      <c r="B225" s="63" t="s">
        <v>1111</v>
      </c>
      <c r="C225" s="64">
        <v>123457012</v>
      </c>
      <c r="D225" s="70" t="s">
        <v>273</v>
      </c>
      <c r="E225" s="111" t="s">
        <v>868</v>
      </c>
      <c r="F225" s="66">
        <v>507</v>
      </c>
      <c r="G225" s="67">
        <v>26</v>
      </c>
      <c r="H225" s="67">
        <v>13182</v>
      </c>
      <c r="I225" s="68">
        <v>123456789</v>
      </c>
      <c r="J225" s="69" t="s">
        <v>889</v>
      </c>
    </row>
    <row r="226" spans="1:10" x14ac:dyDescent="0.3">
      <c r="A226" s="62">
        <v>45154</v>
      </c>
      <c r="B226" s="63" t="s">
        <v>1112</v>
      </c>
      <c r="C226" s="64">
        <v>123457013</v>
      </c>
      <c r="D226" s="65" t="s">
        <v>274</v>
      </c>
      <c r="E226" s="53" t="s">
        <v>868</v>
      </c>
      <c r="F226" s="66">
        <v>991</v>
      </c>
      <c r="G226" s="67">
        <v>23</v>
      </c>
      <c r="H226" s="67">
        <v>22793</v>
      </c>
      <c r="I226" s="68">
        <v>123456789</v>
      </c>
      <c r="J226" s="69" t="s">
        <v>887</v>
      </c>
    </row>
    <row r="227" spans="1:10" x14ac:dyDescent="0.3">
      <c r="A227" s="62">
        <v>45155</v>
      </c>
      <c r="B227" s="63" t="s">
        <v>1113</v>
      </c>
      <c r="C227" s="64">
        <v>123457014</v>
      </c>
      <c r="D227" s="70" t="s">
        <v>275</v>
      </c>
      <c r="E227" s="111" t="s">
        <v>868</v>
      </c>
      <c r="F227" s="66">
        <v>646</v>
      </c>
      <c r="G227" s="67">
        <v>30</v>
      </c>
      <c r="H227" s="67">
        <v>19380</v>
      </c>
      <c r="I227" s="68">
        <v>123456789</v>
      </c>
      <c r="J227" s="69" t="s">
        <v>887</v>
      </c>
    </row>
    <row r="228" spans="1:10" x14ac:dyDescent="0.3">
      <c r="A228" s="62">
        <v>45156</v>
      </c>
      <c r="B228" s="63" t="s">
        <v>1114</v>
      </c>
      <c r="C228" s="64">
        <v>123457015</v>
      </c>
      <c r="D228" s="65" t="s">
        <v>276</v>
      </c>
      <c r="E228" s="53" t="s">
        <v>868</v>
      </c>
      <c r="F228" s="66">
        <v>889</v>
      </c>
      <c r="G228" s="67">
        <v>21</v>
      </c>
      <c r="H228" s="67">
        <v>18669</v>
      </c>
      <c r="I228" s="68">
        <v>123456789</v>
      </c>
      <c r="J228" s="69" t="s">
        <v>887</v>
      </c>
    </row>
    <row r="229" spans="1:10" x14ac:dyDescent="0.3">
      <c r="A229" s="62">
        <v>45157</v>
      </c>
      <c r="B229" s="63" t="s">
        <v>1115</v>
      </c>
      <c r="C229" s="64">
        <v>123457016</v>
      </c>
      <c r="D229" s="70" t="s">
        <v>277</v>
      </c>
      <c r="E229" s="111" t="s">
        <v>868</v>
      </c>
      <c r="F229" s="66">
        <v>572</v>
      </c>
      <c r="G229" s="67">
        <v>23</v>
      </c>
      <c r="H229" s="67">
        <v>13156</v>
      </c>
      <c r="I229" s="68">
        <v>123456789</v>
      </c>
      <c r="J229" s="69" t="s">
        <v>887</v>
      </c>
    </row>
    <row r="230" spans="1:10" x14ac:dyDescent="0.3">
      <c r="A230" s="62">
        <v>45158</v>
      </c>
      <c r="B230" s="63" t="s">
        <v>1116</v>
      </c>
      <c r="C230" s="64">
        <v>123457017</v>
      </c>
      <c r="D230" s="65" t="s">
        <v>278</v>
      </c>
      <c r="E230" s="53" t="s">
        <v>868</v>
      </c>
      <c r="F230" s="66">
        <v>862</v>
      </c>
      <c r="G230" s="67">
        <v>21</v>
      </c>
      <c r="H230" s="67">
        <v>18102</v>
      </c>
      <c r="I230" s="68">
        <v>123456789</v>
      </c>
      <c r="J230" s="69" t="s">
        <v>887</v>
      </c>
    </row>
    <row r="231" spans="1:10" x14ac:dyDescent="0.3">
      <c r="A231" s="62">
        <v>45159</v>
      </c>
      <c r="B231" s="63" t="s">
        <v>1117</v>
      </c>
      <c r="C231" s="64">
        <v>123457018</v>
      </c>
      <c r="D231" s="70" t="s">
        <v>279</v>
      </c>
      <c r="E231" s="111" t="s">
        <v>868</v>
      </c>
      <c r="F231" s="66">
        <v>507</v>
      </c>
      <c r="G231" s="67">
        <v>31</v>
      </c>
      <c r="H231" s="67">
        <v>15717</v>
      </c>
      <c r="I231" s="68">
        <v>123456789</v>
      </c>
      <c r="J231" s="69" t="s">
        <v>889</v>
      </c>
    </row>
    <row r="232" spans="1:10" x14ac:dyDescent="0.3">
      <c r="A232" s="62">
        <v>45160</v>
      </c>
      <c r="B232" s="63" t="s">
        <v>1118</v>
      </c>
      <c r="C232" s="64">
        <v>123457019</v>
      </c>
      <c r="D232" s="65" t="s">
        <v>280</v>
      </c>
      <c r="E232" s="53" t="s">
        <v>868</v>
      </c>
      <c r="F232" s="66">
        <v>853</v>
      </c>
      <c r="G232" s="67">
        <v>26</v>
      </c>
      <c r="H232" s="67">
        <v>22178</v>
      </c>
      <c r="I232" s="68">
        <v>123456789</v>
      </c>
      <c r="J232" s="69" t="s">
        <v>887</v>
      </c>
    </row>
    <row r="233" spans="1:10" x14ac:dyDescent="0.3">
      <c r="A233" s="62">
        <v>45161</v>
      </c>
      <c r="B233" s="63" t="s">
        <v>1119</v>
      </c>
      <c r="C233" s="64">
        <v>123457020</v>
      </c>
      <c r="D233" s="70" t="s">
        <v>281</v>
      </c>
      <c r="E233" s="111" t="s">
        <v>868</v>
      </c>
      <c r="F233" s="66">
        <v>743</v>
      </c>
      <c r="G233" s="67">
        <v>25</v>
      </c>
      <c r="H233" s="67">
        <v>18575</v>
      </c>
      <c r="I233" s="68">
        <v>123456789</v>
      </c>
      <c r="J233" s="69" t="s">
        <v>887</v>
      </c>
    </row>
    <row r="234" spans="1:10" x14ac:dyDescent="0.3">
      <c r="A234" s="62">
        <v>45162</v>
      </c>
      <c r="B234" s="63" t="s">
        <v>1120</v>
      </c>
      <c r="C234" s="64">
        <v>123457021</v>
      </c>
      <c r="D234" s="65" t="s">
        <v>282</v>
      </c>
      <c r="E234" s="53" t="s">
        <v>868</v>
      </c>
      <c r="F234" s="66">
        <v>701</v>
      </c>
      <c r="G234" s="67">
        <v>22</v>
      </c>
      <c r="H234" s="67">
        <v>15422</v>
      </c>
      <c r="I234" s="68">
        <v>123456789</v>
      </c>
      <c r="J234" s="69" t="s">
        <v>887</v>
      </c>
    </row>
    <row r="235" spans="1:10" x14ac:dyDescent="0.3">
      <c r="A235" s="62">
        <v>45163</v>
      </c>
      <c r="B235" s="63" t="s">
        <v>1121</v>
      </c>
      <c r="C235" s="64">
        <v>123457022</v>
      </c>
      <c r="D235" s="70" t="s">
        <v>283</v>
      </c>
      <c r="E235" s="111" t="s">
        <v>868</v>
      </c>
      <c r="F235" s="66">
        <v>970</v>
      </c>
      <c r="G235" s="67">
        <v>26</v>
      </c>
      <c r="H235" s="67">
        <v>25220</v>
      </c>
      <c r="I235" s="68">
        <v>123456789</v>
      </c>
      <c r="J235" s="69" t="s">
        <v>887</v>
      </c>
    </row>
    <row r="236" spans="1:10" x14ac:dyDescent="0.3">
      <c r="A236" s="62">
        <v>45164</v>
      </c>
      <c r="B236" s="63" t="s">
        <v>1122</v>
      </c>
      <c r="C236" s="64">
        <v>123457023</v>
      </c>
      <c r="D236" s="65" t="s">
        <v>284</v>
      </c>
      <c r="E236" s="53" t="s">
        <v>868</v>
      </c>
      <c r="F236" s="66">
        <v>575</v>
      </c>
      <c r="G236" s="67">
        <v>28</v>
      </c>
      <c r="H236" s="67">
        <v>16100</v>
      </c>
      <c r="I236" s="68">
        <v>123456789</v>
      </c>
      <c r="J236" s="69" t="s">
        <v>887</v>
      </c>
    </row>
    <row r="237" spans="1:10" x14ac:dyDescent="0.3">
      <c r="A237" s="62">
        <v>45165</v>
      </c>
      <c r="B237" s="63" t="s">
        <v>1123</v>
      </c>
      <c r="C237" s="64">
        <v>123457024</v>
      </c>
      <c r="D237" s="70" t="s">
        <v>285</v>
      </c>
      <c r="E237" s="111" t="s">
        <v>868</v>
      </c>
      <c r="F237" s="66">
        <v>835</v>
      </c>
      <c r="G237" s="67">
        <v>23</v>
      </c>
      <c r="H237" s="67">
        <v>19205</v>
      </c>
      <c r="I237" s="68">
        <v>123456789</v>
      </c>
      <c r="J237" s="69" t="s">
        <v>887</v>
      </c>
    </row>
    <row r="238" spans="1:10" x14ac:dyDescent="0.3">
      <c r="A238" s="62">
        <v>45166</v>
      </c>
      <c r="B238" s="63" t="s">
        <v>1124</v>
      </c>
      <c r="C238" s="64">
        <v>123457025</v>
      </c>
      <c r="D238" s="65" t="s">
        <v>286</v>
      </c>
      <c r="E238" s="53" t="s">
        <v>868</v>
      </c>
      <c r="F238" s="66">
        <v>712</v>
      </c>
      <c r="G238" s="67">
        <v>31</v>
      </c>
      <c r="H238" s="67">
        <v>22072</v>
      </c>
      <c r="I238" s="68">
        <v>123456789</v>
      </c>
      <c r="J238" s="69" t="s">
        <v>887</v>
      </c>
    </row>
    <row r="239" spans="1:10" x14ac:dyDescent="0.3">
      <c r="A239" s="62">
        <v>45167</v>
      </c>
      <c r="B239" s="63" t="s">
        <v>1125</v>
      </c>
      <c r="C239" s="64">
        <v>123457026</v>
      </c>
      <c r="D239" s="70" t="s">
        <v>287</v>
      </c>
      <c r="E239" s="111" t="s">
        <v>868</v>
      </c>
      <c r="F239" s="66">
        <v>784</v>
      </c>
      <c r="G239" s="67">
        <v>31</v>
      </c>
      <c r="H239" s="67">
        <v>24304</v>
      </c>
      <c r="I239" s="68">
        <v>123456789</v>
      </c>
      <c r="J239" s="69" t="s">
        <v>887</v>
      </c>
    </row>
    <row r="240" spans="1:10" x14ac:dyDescent="0.3">
      <c r="A240" s="62">
        <v>45168</v>
      </c>
      <c r="B240" s="63" t="s">
        <v>1126</v>
      </c>
      <c r="C240" s="64">
        <v>123457027</v>
      </c>
      <c r="D240" s="65" t="s">
        <v>288</v>
      </c>
      <c r="E240" s="53" t="s">
        <v>869</v>
      </c>
      <c r="F240" s="66">
        <v>940</v>
      </c>
      <c r="G240" s="67">
        <v>26</v>
      </c>
      <c r="H240" s="67">
        <v>24440</v>
      </c>
      <c r="I240" s="68">
        <v>123456789</v>
      </c>
      <c r="J240" s="69" t="s">
        <v>889</v>
      </c>
    </row>
    <row r="241" spans="1:10" x14ac:dyDescent="0.3">
      <c r="A241" s="62">
        <v>45169</v>
      </c>
      <c r="B241" s="63" t="s">
        <v>1127</v>
      </c>
      <c r="C241" s="64">
        <v>123457028</v>
      </c>
      <c r="D241" s="70" t="s">
        <v>289</v>
      </c>
      <c r="E241" s="111" t="s">
        <v>868</v>
      </c>
      <c r="F241" s="66">
        <v>829</v>
      </c>
      <c r="G241" s="67">
        <v>26</v>
      </c>
      <c r="H241" s="67">
        <v>21554</v>
      </c>
      <c r="I241" s="68">
        <v>123456789</v>
      </c>
      <c r="J241" s="69" t="s">
        <v>887</v>
      </c>
    </row>
    <row r="242" spans="1:10" x14ac:dyDescent="0.3">
      <c r="A242" s="62">
        <v>45170</v>
      </c>
      <c r="B242" s="63" t="s">
        <v>1128</v>
      </c>
      <c r="C242" s="64">
        <v>123457029</v>
      </c>
      <c r="D242" s="65" t="s">
        <v>290</v>
      </c>
      <c r="E242" s="53" t="s">
        <v>868</v>
      </c>
      <c r="F242" s="66">
        <v>438</v>
      </c>
      <c r="G242" s="67">
        <v>21</v>
      </c>
      <c r="H242" s="67">
        <v>9198</v>
      </c>
      <c r="I242" s="68">
        <v>123456789</v>
      </c>
      <c r="J242" s="69" t="s">
        <v>889</v>
      </c>
    </row>
    <row r="243" spans="1:10" x14ac:dyDescent="0.3">
      <c r="A243" s="62">
        <v>45171</v>
      </c>
      <c r="B243" s="63" t="s">
        <v>1129</v>
      </c>
      <c r="C243" s="64">
        <v>123457030</v>
      </c>
      <c r="D243" s="70" t="s">
        <v>291</v>
      </c>
      <c r="E243" s="111" t="s">
        <v>868</v>
      </c>
      <c r="F243" s="66">
        <v>468</v>
      </c>
      <c r="G243" s="67">
        <v>25</v>
      </c>
      <c r="H243" s="67">
        <v>11700</v>
      </c>
      <c r="I243" s="68">
        <v>123456789</v>
      </c>
      <c r="J243" s="69" t="s">
        <v>887</v>
      </c>
    </row>
    <row r="244" spans="1:10" x14ac:dyDescent="0.3">
      <c r="A244" s="62">
        <v>45172</v>
      </c>
      <c r="B244" s="63" t="s">
        <v>1130</v>
      </c>
      <c r="C244" s="64">
        <v>123457031</v>
      </c>
      <c r="D244" s="65" t="s">
        <v>292</v>
      </c>
      <c r="E244" s="53" t="s">
        <v>869</v>
      </c>
      <c r="F244" s="66">
        <v>323</v>
      </c>
      <c r="G244" s="67">
        <v>28</v>
      </c>
      <c r="H244" s="67">
        <v>9044</v>
      </c>
      <c r="I244" s="68">
        <v>123456789</v>
      </c>
      <c r="J244" s="69" t="s">
        <v>887</v>
      </c>
    </row>
    <row r="245" spans="1:10" x14ac:dyDescent="0.3">
      <c r="A245" s="62">
        <v>45173</v>
      </c>
      <c r="B245" s="63" t="s">
        <v>1131</v>
      </c>
      <c r="C245" s="64">
        <v>123457032</v>
      </c>
      <c r="D245" s="70" t="s">
        <v>293</v>
      </c>
      <c r="E245" s="111" t="s">
        <v>869</v>
      </c>
      <c r="F245" s="66">
        <v>439</v>
      </c>
      <c r="G245" s="67">
        <v>27</v>
      </c>
      <c r="H245" s="67">
        <v>11853</v>
      </c>
      <c r="I245" s="68">
        <v>123456789</v>
      </c>
      <c r="J245" s="69" t="s">
        <v>887</v>
      </c>
    </row>
    <row r="246" spans="1:10" x14ac:dyDescent="0.3">
      <c r="A246" s="62">
        <v>45174</v>
      </c>
      <c r="B246" s="63" t="s">
        <v>1132</v>
      </c>
      <c r="C246" s="64">
        <v>123457033</v>
      </c>
      <c r="D246" s="65" t="s">
        <v>294</v>
      </c>
      <c r="E246" s="53" t="s">
        <v>868</v>
      </c>
      <c r="F246" s="66">
        <v>349</v>
      </c>
      <c r="G246" s="67">
        <v>27</v>
      </c>
      <c r="H246" s="67">
        <v>9423</v>
      </c>
      <c r="I246" s="68">
        <v>123456789</v>
      </c>
      <c r="J246" s="69" t="s">
        <v>887</v>
      </c>
    </row>
    <row r="247" spans="1:10" x14ac:dyDescent="0.3">
      <c r="A247" s="62">
        <v>45175</v>
      </c>
      <c r="B247" s="63" t="s">
        <v>1133</v>
      </c>
      <c r="C247" s="64">
        <v>123457034</v>
      </c>
      <c r="D247" s="70" t="s">
        <v>295</v>
      </c>
      <c r="E247" s="111" t="s">
        <v>868</v>
      </c>
      <c r="F247" s="66">
        <v>268</v>
      </c>
      <c r="G247" s="67">
        <v>21</v>
      </c>
      <c r="H247" s="67">
        <v>5628</v>
      </c>
      <c r="I247" s="68">
        <v>123456789</v>
      </c>
      <c r="J247" s="69" t="s">
        <v>887</v>
      </c>
    </row>
    <row r="248" spans="1:10" x14ac:dyDescent="0.3">
      <c r="A248" s="62">
        <v>45176</v>
      </c>
      <c r="B248" s="63" t="s">
        <v>1134</v>
      </c>
      <c r="C248" s="64">
        <v>123457035</v>
      </c>
      <c r="D248" s="65" t="s">
        <v>296</v>
      </c>
      <c r="E248" s="53" t="s">
        <v>869</v>
      </c>
      <c r="F248" s="66">
        <v>437</v>
      </c>
      <c r="G248" s="67">
        <v>29</v>
      </c>
      <c r="H248" s="67">
        <v>12673</v>
      </c>
      <c r="I248" s="68">
        <v>123456789</v>
      </c>
      <c r="J248" s="69" t="s">
        <v>889</v>
      </c>
    </row>
    <row r="249" spans="1:10" x14ac:dyDescent="0.3">
      <c r="A249" s="62">
        <v>45177</v>
      </c>
      <c r="B249" s="63" t="s">
        <v>1135</v>
      </c>
      <c r="C249" s="64">
        <v>123457036</v>
      </c>
      <c r="D249" s="70" t="s">
        <v>297</v>
      </c>
      <c r="E249" s="111" t="s">
        <v>868</v>
      </c>
      <c r="F249" s="66">
        <v>403</v>
      </c>
      <c r="G249" s="67">
        <v>29</v>
      </c>
      <c r="H249" s="67">
        <v>11687</v>
      </c>
      <c r="I249" s="68">
        <v>123456789</v>
      </c>
      <c r="J249" s="69" t="s">
        <v>887</v>
      </c>
    </row>
    <row r="250" spans="1:10" x14ac:dyDescent="0.3">
      <c r="A250" s="62">
        <v>45178</v>
      </c>
      <c r="B250" s="63" t="s">
        <v>1136</v>
      </c>
      <c r="C250" s="64">
        <v>123457037</v>
      </c>
      <c r="D250" s="65" t="s">
        <v>298</v>
      </c>
      <c r="E250" s="53" t="s">
        <v>868</v>
      </c>
      <c r="F250" s="66">
        <v>283</v>
      </c>
      <c r="G250" s="67">
        <v>24</v>
      </c>
      <c r="H250" s="67">
        <v>6792</v>
      </c>
      <c r="I250" s="68">
        <v>123456789</v>
      </c>
      <c r="J250" s="69" t="s">
        <v>889</v>
      </c>
    </row>
    <row r="251" spans="1:10" x14ac:dyDescent="0.3">
      <c r="A251" s="62">
        <v>45179</v>
      </c>
      <c r="B251" s="63" t="s">
        <v>1137</v>
      </c>
      <c r="C251" s="64">
        <v>123457038</v>
      </c>
      <c r="D251" s="70" t="s">
        <v>299</v>
      </c>
      <c r="E251" s="111" t="s">
        <v>868</v>
      </c>
      <c r="F251" s="66">
        <v>396</v>
      </c>
      <c r="G251" s="67">
        <v>28</v>
      </c>
      <c r="H251" s="67">
        <v>11088</v>
      </c>
      <c r="I251" s="68">
        <v>123456789</v>
      </c>
      <c r="J251" s="69" t="s">
        <v>887</v>
      </c>
    </row>
    <row r="252" spans="1:10" x14ac:dyDescent="0.3">
      <c r="A252" s="62">
        <v>45180</v>
      </c>
      <c r="B252" s="63" t="s">
        <v>1138</v>
      </c>
      <c r="C252" s="64">
        <v>123457039</v>
      </c>
      <c r="D252" s="65" t="s">
        <v>300</v>
      </c>
      <c r="E252" s="53" t="s">
        <v>868</v>
      </c>
      <c r="F252" s="66">
        <v>333</v>
      </c>
      <c r="G252" s="67">
        <v>27</v>
      </c>
      <c r="H252" s="67">
        <v>8991</v>
      </c>
      <c r="I252" s="68">
        <v>123456789</v>
      </c>
      <c r="J252" s="69" t="s">
        <v>887</v>
      </c>
    </row>
    <row r="253" spans="1:10" x14ac:dyDescent="0.3">
      <c r="A253" s="62">
        <v>45181</v>
      </c>
      <c r="B253" s="63" t="s">
        <v>1139</v>
      </c>
      <c r="C253" s="64">
        <v>123457040</v>
      </c>
      <c r="D253" s="70" t="s">
        <v>301</v>
      </c>
      <c r="E253" s="111" t="s">
        <v>868</v>
      </c>
      <c r="F253" s="66">
        <v>349</v>
      </c>
      <c r="G253" s="67">
        <v>29</v>
      </c>
      <c r="H253" s="67">
        <v>10121</v>
      </c>
      <c r="I253" s="68">
        <v>123456789</v>
      </c>
      <c r="J253" s="69" t="s">
        <v>887</v>
      </c>
    </row>
    <row r="254" spans="1:10" x14ac:dyDescent="0.3">
      <c r="A254" s="62">
        <v>45182</v>
      </c>
      <c r="B254" s="63" t="s">
        <v>1140</v>
      </c>
      <c r="C254" s="64">
        <v>123457041</v>
      </c>
      <c r="D254" s="65" t="s">
        <v>302</v>
      </c>
      <c r="E254" s="53" t="s">
        <v>868</v>
      </c>
      <c r="F254" s="66">
        <v>291</v>
      </c>
      <c r="G254" s="67">
        <v>30</v>
      </c>
      <c r="H254" s="67">
        <v>8730</v>
      </c>
      <c r="I254" s="68">
        <v>123456789</v>
      </c>
      <c r="J254" s="69" t="s">
        <v>887</v>
      </c>
    </row>
    <row r="255" spans="1:10" x14ac:dyDescent="0.3">
      <c r="A255" s="62">
        <v>45183</v>
      </c>
      <c r="B255" s="63" t="s">
        <v>1141</v>
      </c>
      <c r="C255" s="64">
        <v>123457042</v>
      </c>
      <c r="D255" s="70" t="s">
        <v>303</v>
      </c>
      <c r="E255" s="111" t="s">
        <v>869</v>
      </c>
      <c r="F255" s="66">
        <v>446</v>
      </c>
      <c r="G255" s="67">
        <v>29</v>
      </c>
      <c r="H255" s="67">
        <v>12934</v>
      </c>
      <c r="I255" s="68">
        <v>123456789</v>
      </c>
      <c r="J255" s="69" t="s">
        <v>887</v>
      </c>
    </row>
    <row r="256" spans="1:10" x14ac:dyDescent="0.3">
      <c r="A256" s="62">
        <v>45184</v>
      </c>
      <c r="B256" s="63" t="s">
        <v>1142</v>
      </c>
      <c r="C256" s="64">
        <v>123457043</v>
      </c>
      <c r="D256" s="65" t="s">
        <v>304</v>
      </c>
      <c r="E256" s="53" t="s">
        <v>868</v>
      </c>
      <c r="F256" s="66">
        <v>344</v>
      </c>
      <c r="G256" s="67">
        <v>28</v>
      </c>
      <c r="H256" s="67">
        <v>9632</v>
      </c>
      <c r="I256" s="68">
        <v>123456789</v>
      </c>
      <c r="J256" s="69" t="s">
        <v>889</v>
      </c>
    </row>
    <row r="257" spans="1:10" x14ac:dyDescent="0.3">
      <c r="A257" s="62">
        <v>45185</v>
      </c>
      <c r="B257" s="63" t="s">
        <v>1143</v>
      </c>
      <c r="C257" s="64">
        <v>123457044</v>
      </c>
      <c r="D257" s="70" t="s">
        <v>305</v>
      </c>
      <c r="E257" s="111" t="s">
        <v>868</v>
      </c>
      <c r="F257" s="66">
        <v>335</v>
      </c>
      <c r="G257" s="67">
        <v>31</v>
      </c>
      <c r="H257" s="67">
        <v>10385</v>
      </c>
      <c r="I257" s="68">
        <v>123456789</v>
      </c>
      <c r="J257" s="69" t="s">
        <v>887</v>
      </c>
    </row>
    <row r="258" spans="1:10" x14ac:dyDescent="0.3">
      <c r="A258" s="62">
        <v>45186</v>
      </c>
      <c r="B258" s="63" t="s">
        <v>1144</v>
      </c>
      <c r="C258" s="64">
        <v>123457045</v>
      </c>
      <c r="D258" s="65" t="s">
        <v>306</v>
      </c>
      <c r="E258" s="53" t="s">
        <v>869</v>
      </c>
      <c r="F258" s="66">
        <v>436</v>
      </c>
      <c r="G258" s="67">
        <v>22</v>
      </c>
      <c r="H258" s="67">
        <v>9592</v>
      </c>
      <c r="I258" s="68">
        <v>123456789</v>
      </c>
      <c r="J258" s="69" t="s">
        <v>887</v>
      </c>
    </row>
    <row r="259" spans="1:10" x14ac:dyDescent="0.3">
      <c r="A259" s="62">
        <v>45187</v>
      </c>
      <c r="B259" s="63" t="s">
        <v>1145</v>
      </c>
      <c r="C259" s="64">
        <v>123457046</v>
      </c>
      <c r="D259" s="70" t="s">
        <v>307</v>
      </c>
      <c r="E259" s="111" t="s">
        <v>869</v>
      </c>
      <c r="F259" s="66">
        <v>321</v>
      </c>
      <c r="G259" s="67">
        <v>31</v>
      </c>
      <c r="H259" s="67">
        <v>9951</v>
      </c>
      <c r="I259" s="68">
        <v>123456789</v>
      </c>
      <c r="J259" s="69" t="s">
        <v>889</v>
      </c>
    </row>
    <row r="260" spans="1:10" x14ac:dyDescent="0.3">
      <c r="A260" s="62">
        <v>45188</v>
      </c>
      <c r="B260" s="63" t="s">
        <v>1146</v>
      </c>
      <c r="C260" s="64">
        <v>123457047</v>
      </c>
      <c r="D260" s="65" t="s">
        <v>308</v>
      </c>
      <c r="E260" s="53" t="s">
        <v>868</v>
      </c>
      <c r="F260" s="66">
        <v>507</v>
      </c>
      <c r="G260" s="67">
        <v>21</v>
      </c>
      <c r="H260" s="67">
        <v>10647</v>
      </c>
      <c r="I260" s="68">
        <v>123456789</v>
      </c>
      <c r="J260" s="69" t="s">
        <v>889</v>
      </c>
    </row>
    <row r="261" spans="1:10" x14ac:dyDescent="0.3">
      <c r="A261" s="62">
        <v>45189</v>
      </c>
      <c r="B261" s="63" t="s">
        <v>1147</v>
      </c>
      <c r="C261" s="64">
        <v>123457048</v>
      </c>
      <c r="D261" s="70" t="s">
        <v>309</v>
      </c>
      <c r="E261" s="111" t="s">
        <v>869</v>
      </c>
      <c r="F261" s="66">
        <v>364</v>
      </c>
      <c r="G261" s="67">
        <v>30</v>
      </c>
      <c r="H261" s="67">
        <v>10920</v>
      </c>
      <c r="I261" s="68">
        <v>123456789</v>
      </c>
      <c r="J261" s="69" t="s">
        <v>887</v>
      </c>
    </row>
    <row r="262" spans="1:10" x14ac:dyDescent="0.3">
      <c r="A262" s="62">
        <v>45190</v>
      </c>
      <c r="B262" s="63" t="s">
        <v>1148</v>
      </c>
      <c r="C262" s="64">
        <v>123457049</v>
      </c>
      <c r="D262" s="65" t="s">
        <v>310</v>
      </c>
      <c r="E262" s="53" t="s">
        <v>868</v>
      </c>
      <c r="F262" s="66">
        <v>418</v>
      </c>
      <c r="G262" s="67">
        <v>29</v>
      </c>
      <c r="H262" s="67">
        <v>12122</v>
      </c>
      <c r="I262" s="68">
        <v>123456789</v>
      </c>
      <c r="J262" s="69" t="s">
        <v>887</v>
      </c>
    </row>
    <row r="263" spans="1:10" x14ac:dyDescent="0.3">
      <c r="A263" s="62">
        <v>45191</v>
      </c>
      <c r="B263" s="63" t="s">
        <v>1149</v>
      </c>
      <c r="C263" s="64">
        <v>123457050</v>
      </c>
      <c r="D263" s="70" t="s">
        <v>311</v>
      </c>
      <c r="E263" s="111" t="s">
        <v>868</v>
      </c>
      <c r="F263" s="66">
        <v>288</v>
      </c>
      <c r="G263" s="67">
        <v>25</v>
      </c>
      <c r="H263" s="67">
        <v>7200</v>
      </c>
      <c r="I263" s="68">
        <v>123456789</v>
      </c>
      <c r="J263" s="69" t="s">
        <v>887</v>
      </c>
    </row>
    <row r="264" spans="1:10" x14ac:dyDescent="0.3">
      <c r="A264" s="62">
        <v>45192</v>
      </c>
      <c r="B264" s="63" t="s">
        <v>1150</v>
      </c>
      <c r="C264" s="64">
        <v>123457051</v>
      </c>
      <c r="D264" s="65" t="s">
        <v>312</v>
      </c>
      <c r="E264" s="53" t="s">
        <v>868</v>
      </c>
      <c r="F264" s="66">
        <v>412</v>
      </c>
      <c r="G264" s="67">
        <v>21</v>
      </c>
      <c r="H264" s="67">
        <v>8652</v>
      </c>
      <c r="I264" s="68">
        <v>123456789</v>
      </c>
      <c r="J264" s="69" t="s">
        <v>887</v>
      </c>
    </row>
    <row r="265" spans="1:10" x14ac:dyDescent="0.3">
      <c r="A265" s="62">
        <v>45193</v>
      </c>
      <c r="B265" s="63" t="s">
        <v>1151</v>
      </c>
      <c r="C265" s="64">
        <v>123457052</v>
      </c>
      <c r="D265" s="70" t="s">
        <v>313</v>
      </c>
      <c r="E265" s="111" t="s">
        <v>868</v>
      </c>
      <c r="F265" s="66">
        <v>346</v>
      </c>
      <c r="G265" s="67">
        <v>21</v>
      </c>
      <c r="H265" s="67">
        <v>7266</v>
      </c>
      <c r="I265" s="68">
        <v>123456789</v>
      </c>
      <c r="J265" s="69" t="s">
        <v>889</v>
      </c>
    </row>
    <row r="266" spans="1:10" x14ac:dyDescent="0.3">
      <c r="A266" s="62">
        <v>45194</v>
      </c>
      <c r="B266" s="63" t="s">
        <v>1152</v>
      </c>
      <c r="C266" s="64">
        <v>123457053</v>
      </c>
      <c r="D266" s="65" t="s">
        <v>314</v>
      </c>
      <c r="E266" s="53" t="s">
        <v>869</v>
      </c>
      <c r="F266" s="66">
        <v>273</v>
      </c>
      <c r="G266" s="67">
        <v>21</v>
      </c>
      <c r="H266" s="67">
        <v>5733</v>
      </c>
      <c r="I266" s="68">
        <v>123456789</v>
      </c>
      <c r="J266" s="69" t="s">
        <v>887</v>
      </c>
    </row>
    <row r="267" spans="1:10" x14ac:dyDescent="0.3">
      <c r="A267" s="62">
        <v>45195</v>
      </c>
      <c r="B267" s="63" t="s">
        <v>1153</v>
      </c>
      <c r="C267" s="64">
        <v>123457054</v>
      </c>
      <c r="D267" s="70" t="s">
        <v>315</v>
      </c>
      <c r="E267" s="111" t="s">
        <v>868</v>
      </c>
      <c r="F267" s="66">
        <v>472</v>
      </c>
      <c r="G267" s="67">
        <v>25</v>
      </c>
      <c r="H267" s="67">
        <v>11800</v>
      </c>
      <c r="I267" s="68">
        <v>123456789</v>
      </c>
      <c r="J267" s="69" t="s">
        <v>887</v>
      </c>
    </row>
    <row r="268" spans="1:10" x14ac:dyDescent="0.3">
      <c r="A268" s="62">
        <v>45196</v>
      </c>
      <c r="B268" s="63" t="s">
        <v>1154</v>
      </c>
      <c r="C268" s="64">
        <v>123457055</v>
      </c>
      <c r="D268" s="65" t="s">
        <v>316</v>
      </c>
      <c r="E268" s="53" t="s">
        <v>869</v>
      </c>
      <c r="F268" s="66">
        <v>304</v>
      </c>
      <c r="G268" s="67">
        <v>21</v>
      </c>
      <c r="H268" s="67">
        <v>6384</v>
      </c>
      <c r="I268" s="68">
        <v>123456789</v>
      </c>
      <c r="J268" s="69" t="s">
        <v>889</v>
      </c>
    </row>
    <row r="269" spans="1:10" x14ac:dyDescent="0.3">
      <c r="A269" s="62">
        <v>45197</v>
      </c>
      <c r="B269" s="63" t="s">
        <v>1155</v>
      </c>
      <c r="C269" s="64">
        <v>123457056</v>
      </c>
      <c r="D269" s="70" t="s">
        <v>317</v>
      </c>
      <c r="E269" s="111" t="s">
        <v>869</v>
      </c>
      <c r="F269" s="66">
        <v>472</v>
      </c>
      <c r="G269" s="67">
        <v>22</v>
      </c>
      <c r="H269" s="67">
        <v>10384</v>
      </c>
      <c r="I269" s="68">
        <v>123456789</v>
      </c>
      <c r="J269" s="69" t="s">
        <v>887</v>
      </c>
    </row>
    <row r="270" spans="1:10" x14ac:dyDescent="0.3">
      <c r="A270" s="62">
        <v>45198</v>
      </c>
      <c r="B270" s="63" t="s">
        <v>1156</v>
      </c>
      <c r="C270" s="64">
        <v>123457057</v>
      </c>
      <c r="D270" s="65" t="s">
        <v>318</v>
      </c>
      <c r="E270" s="53" t="s">
        <v>868</v>
      </c>
      <c r="F270" s="66">
        <v>327</v>
      </c>
      <c r="G270" s="67">
        <v>24</v>
      </c>
      <c r="H270" s="67">
        <v>7848</v>
      </c>
      <c r="I270" s="68">
        <v>123456789</v>
      </c>
      <c r="J270" s="69" t="s">
        <v>887</v>
      </c>
    </row>
    <row r="271" spans="1:10" x14ac:dyDescent="0.3">
      <c r="A271" s="62">
        <v>45199</v>
      </c>
      <c r="B271" s="63" t="s">
        <v>1157</v>
      </c>
      <c r="C271" s="64">
        <v>123457058</v>
      </c>
      <c r="D271" s="70" t="s">
        <v>319</v>
      </c>
      <c r="E271" s="111" t="s">
        <v>868</v>
      </c>
      <c r="F271" s="66">
        <v>339</v>
      </c>
      <c r="G271" s="67">
        <v>27</v>
      </c>
      <c r="H271" s="67">
        <v>9153</v>
      </c>
      <c r="I271" s="68">
        <v>123456789</v>
      </c>
      <c r="J271" s="69" t="s">
        <v>887</v>
      </c>
    </row>
    <row r="272" spans="1:10" x14ac:dyDescent="0.3">
      <c r="A272" s="62">
        <v>45200</v>
      </c>
      <c r="B272" s="63" t="s">
        <v>1158</v>
      </c>
      <c r="C272" s="64">
        <v>123457059</v>
      </c>
      <c r="D272" s="65" t="s">
        <v>320</v>
      </c>
      <c r="E272" s="53" t="s">
        <v>868</v>
      </c>
      <c r="F272" s="66">
        <v>476</v>
      </c>
      <c r="G272" s="67">
        <v>27</v>
      </c>
      <c r="H272" s="67">
        <v>12852</v>
      </c>
      <c r="I272" s="68">
        <v>123456789</v>
      </c>
      <c r="J272" s="69" t="s">
        <v>887</v>
      </c>
    </row>
    <row r="273" spans="1:10" x14ac:dyDescent="0.3">
      <c r="A273" s="62">
        <v>45201</v>
      </c>
      <c r="B273" s="63" t="s">
        <v>1159</v>
      </c>
      <c r="C273" s="64">
        <v>123457060</v>
      </c>
      <c r="D273" s="70" t="s">
        <v>321</v>
      </c>
      <c r="E273" s="111" t="s">
        <v>868</v>
      </c>
      <c r="F273" s="66">
        <v>428</v>
      </c>
      <c r="G273" s="67">
        <v>29</v>
      </c>
      <c r="H273" s="67">
        <v>12412</v>
      </c>
      <c r="I273" s="68">
        <v>123456789</v>
      </c>
      <c r="J273" s="69" t="s">
        <v>887</v>
      </c>
    </row>
    <row r="274" spans="1:10" x14ac:dyDescent="0.3">
      <c r="A274" s="62">
        <v>45202</v>
      </c>
      <c r="B274" s="63" t="s">
        <v>1160</v>
      </c>
      <c r="C274" s="64">
        <v>123457061</v>
      </c>
      <c r="D274" s="65" t="s">
        <v>322</v>
      </c>
      <c r="E274" s="53" t="s">
        <v>869</v>
      </c>
      <c r="F274" s="66">
        <v>299</v>
      </c>
      <c r="G274" s="67">
        <v>31</v>
      </c>
      <c r="H274" s="67">
        <v>9269</v>
      </c>
      <c r="I274" s="68">
        <v>123456789</v>
      </c>
      <c r="J274" s="69" t="s">
        <v>887</v>
      </c>
    </row>
    <row r="275" spans="1:10" x14ac:dyDescent="0.3">
      <c r="A275" s="62">
        <v>45203</v>
      </c>
      <c r="B275" s="63" t="s">
        <v>1161</v>
      </c>
      <c r="C275" s="64">
        <v>123457062</v>
      </c>
      <c r="D275" s="70" t="s">
        <v>323</v>
      </c>
      <c r="E275" s="111" t="s">
        <v>868</v>
      </c>
      <c r="F275" s="66">
        <v>351</v>
      </c>
      <c r="G275" s="67">
        <v>31</v>
      </c>
      <c r="H275" s="67">
        <v>10881</v>
      </c>
      <c r="I275" s="68">
        <v>123456789</v>
      </c>
      <c r="J275" s="69" t="s">
        <v>887</v>
      </c>
    </row>
    <row r="276" spans="1:10" x14ac:dyDescent="0.3">
      <c r="A276" s="62">
        <v>45204</v>
      </c>
      <c r="B276" s="63" t="s">
        <v>1162</v>
      </c>
      <c r="C276" s="64">
        <v>123457063</v>
      </c>
      <c r="D276" s="65" t="s">
        <v>324</v>
      </c>
      <c r="E276" s="53" t="s">
        <v>869</v>
      </c>
      <c r="F276" s="66">
        <v>491</v>
      </c>
      <c r="G276" s="67">
        <v>27</v>
      </c>
      <c r="H276" s="67">
        <v>13257</v>
      </c>
      <c r="I276" s="68">
        <v>123456789</v>
      </c>
      <c r="J276" s="69" t="s">
        <v>889</v>
      </c>
    </row>
    <row r="277" spans="1:10" x14ac:dyDescent="0.3">
      <c r="A277" s="62">
        <v>45205</v>
      </c>
      <c r="B277" s="63" t="s">
        <v>1163</v>
      </c>
      <c r="C277" s="64">
        <v>123457064</v>
      </c>
      <c r="D277" s="70" t="s">
        <v>325</v>
      </c>
      <c r="E277" s="111" t="s">
        <v>868</v>
      </c>
      <c r="F277" s="66">
        <v>320</v>
      </c>
      <c r="G277" s="67">
        <v>22</v>
      </c>
      <c r="H277" s="67">
        <v>7040</v>
      </c>
      <c r="I277" s="68">
        <v>123456789</v>
      </c>
      <c r="J277" s="69" t="s">
        <v>889</v>
      </c>
    </row>
    <row r="278" spans="1:10" x14ac:dyDescent="0.3">
      <c r="A278" s="62">
        <v>45206</v>
      </c>
      <c r="B278" s="63" t="s">
        <v>1164</v>
      </c>
      <c r="C278" s="64">
        <v>123457065</v>
      </c>
      <c r="D278" s="65" t="s">
        <v>326</v>
      </c>
      <c r="E278" s="53" t="s">
        <v>869</v>
      </c>
      <c r="F278" s="66">
        <v>313</v>
      </c>
      <c r="G278" s="67">
        <v>22</v>
      </c>
      <c r="H278" s="67">
        <v>6886</v>
      </c>
      <c r="I278" s="68">
        <v>123456789</v>
      </c>
      <c r="J278" s="69" t="s">
        <v>887</v>
      </c>
    </row>
    <row r="279" spans="1:10" x14ac:dyDescent="0.3">
      <c r="A279" s="62">
        <v>45207</v>
      </c>
      <c r="B279" s="63" t="s">
        <v>1165</v>
      </c>
      <c r="C279" s="64">
        <v>123457066</v>
      </c>
      <c r="D279" s="70" t="s">
        <v>327</v>
      </c>
      <c r="E279" s="111" t="s">
        <v>868</v>
      </c>
      <c r="F279" s="66">
        <v>433</v>
      </c>
      <c r="G279" s="67">
        <v>22</v>
      </c>
      <c r="H279" s="67">
        <v>9526</v>
      </c>
      <c r="I279" s="68">
        <v>123456789</v>
      </c>
      <c r="J279" s="69" t="s">
        <v>887</v>
      </c>
    </row>
    <row r="280" spans="1:10" x14ac:dyDescent="0.3">
      <c r="A280" s="62">
        <v>45208</v>
      </c>
      <c r="B280" s="63" t="s">
        <v>1166</v>
      </c>
      <c r="C280" s="64">
        <v>123457067</v>
      </c>
      <c r="D280" s="65" t="s">
        <v>328</v>
      </c>
      <c r="E280" s="53" t="s">
        <v>868</v>
      </c>
      <c r="F280" s="66">
        <v>432</v>
      </c>
      <c r="G280" s="67">
        <v>24</v>
      </c>
      <c r="H280" s="67">
        <v>10368</v>
      </c>
      <c r="I280" s="68">
        <v>123456789</v>
      </c>
      <c r="J280" s="69" t="s">
        <v>887</v>
      </c>
    </row>
    <row r="281" spans="1:10" x14ac:dyDescent="0.3">
      <c r="A281" s="62">
        <v>45209</v>
      </c>
      <c r="B281" s="63" t="s">
        <v>1167</v>
      </c>
      <c r="C281" s="64">
        <v>123457068</v>
      </c>
      <c r="D281" s="70" t="s">
        <v>329</v>
      </c>
      <c r="E281" s="111" t="s">
        <v>868</v>
      </c>
      <c r="F281" s="66">
        <v>363</v>
      </c>
      <c r="G281" s="67">
        <v>23</v>
      </c>
      <c r="H281" s="67">
        <v>8349</v>
      </c>
      <c r="I281" s="68">
        <v>123456789</v>
      </c>
      <c r="J281" s="69" t="s">
        <v>887</v>
      </c>
    </row>
    <row r="282" spans="1:10" x14ac:dyDescent="0.3">
      <c r="A282" s="62">
        <v>45210</v>
      </c>
      <c r="B282" s="63" t="s">
        <v>1168</v>
      </c>
      <c r="C282" s="64">
        <v>123457069</v>
      </c>
      <c r="D282" s="65" t="s">
        <v>330</v>
      </c>
      <c r="E282" s="53" t="s">
        <v>868</v>
      </c>
      <c r="F282" s="66">
        <v>334</v>
      </c>
      <c r="G282" s="67">
        <v>23</v>
      </c>
      <c r="H282" s="67">
        <v>7682</v>
      </c>
      <c r="I282" s="68">
        <v>123456789</v>
      </c>
      <c r="J282" s="69" t="s">
        <v>887</v>
      </c>
    </row>
    <row r="283" spans="1:10" x14ac:dyDescent="0.3">
      <c r="A283" s="62">
        <v>45211</v>
      </c>
      <c r="B283" s="63" t="s">
        <v>1169</v>
      </c>
      <c r="C283" s="64">
        <v>123457070</v>
      </c>
      <c r="D283" s="70" t="s">
        <v>331</v>
      </c>
      <c r="E283" s="111" t="s">
        <v>868</v>
      </c>
      <c r="F283" s="66">
        <v>292</v>
      </c>
      <c r="G283" s="67">
        <v>31</v>
      </c>
      <c r="H283" s="67">
        <v>9052</v>
      </c>
      <c r="I283" s="68">
        <v>123456789</v>
      </c>
      <c r="J283" s="69" t="s">
        <v>889</v>
      </c>
    </row>
    <row r="284" spans="1:10" x14ac:dyDescent="0.3">
      <c r="A284" s="62">
        <v>45212</v>
      </c>
      <c r="B284" s="63" t="s">
        <v>1170</v>
      </c>
      <c r="C284" s="64">
        <v>123457071</v>
      </c>
      <c r="D284" s="65" t="s">
        <v>332</v>
      </c>
      <c r="E284" s="53" t="s">
        <v>868</v>
      </c>
      <c r="F284" s="66">
        <v>476</v>
      </c>
      <c r="G284" s="67">
        <v>25</v>
      </c>
      <c r="H284" s="67">
        <v>11900</v>
      </c>
      <c r="I284" s="68">
        <v>123456789</v>
      </c>
      <c r="J284" s="69" t="s">
        <v>887</v>
      </c>
    </row>
    <row r="285" spans="1:10" x14ac:dyDescent="0.3">
      <c r="A285" s="62">
        <v>45213</v>
      </c>
      <c r="B285" s="63" t="s">
        <v>1171</v>
      </c>
      <c r="C285" s="64">
        <v>123457072</v>
      </c>
      <c r="D285" s="70" t="s">
        <v>333</v>
      </c>
      <c r="E285" s="111" t="s">
        <v>868</v>
      </c>
      <c r="F285" s="66">
        <v>473</v>
      </c>
      <c r="G285" s="67">
        <v>28</v>
      </c>
      <c r="H285" s="67">
        <v>13244</v>
      </c>
      <c r="I285" s="68">
        <v>123456789</v>
      </c>
      <c r="J285" s="69" t="s">
        <v>887</v>
      </c>
    </row>
    <row r="286" spans="1:10" x14ac:dyDescent="0.3">
      <c r="A286" s="62">
        <v>45214</v>
      </c>
      <c r="B286" s="63" t="s">
        <v>1172</v>
      </c>
      <c r="C286" s="64">
        <v>123457073</v>
      </c>
      <c r="D286" s="65" t="s">
        <v>334</v>
      </c>
      <c r="E286" s="53" t="s">
        <v>868</v>
      </c>
      <c r="F286" s="66">
        <v>365</v>
      </c>
      <c r="G286" s="67">
        <v>30</v>
      </c>
      <c r="H286" s="67">
        <v>10950</v>
      </c>
      <c r="I286" s="68">
        <v>123456789</v>
      </c>
      <c r="J286" s="69" t="s">
        <v>887</v>
      </c>
    </row>
    <row r="287" spans="1:10" x14ac:dyDescent="0.3">
      <c r="A287" s="62">
        <v>45215</v>
      </c>
      <c r="B287" s="63" t="s">
        <v>1173</v>
      </c>
      <c r="C287" s="64">
        <v>123457074</v>
      </c>
      <c r="D287" s="70" t="s">
        <v>335</v>
      </c>
      <c r="E287" s="53" t="s">
        <v>868</v>
      </c>
      <c r="F287" s="66">
        <v>345</v>
      </c>
      <c r="G287" s="67">
        <v>30</v>
      </c>
      <c r="H287" s="67">
        <v>10350</v>
      </c>
      <c r="I287" s="68">
        <v>123456789</v>
      </c>
      <c r="J287" s="69" t="s">
        <v>887</v>
      </c>
    </row>
    <row r="288" spans="1:10" x14ac:dyDescent="0.3">
      <c r="A288" s="62">
        <v>45216</v>
      </c>
      <c r="B288" s="63" t="s">
        <v>1174</v>
      </c>
      <c r="C288" s="64">
        <v>123457075</v>
      </c>
      <c r="D288" s="65" t="s">
        <v>336</v>
      </c>
      <c r="E288" s="53" t="s">
        <v>868</v>
      </c>
      <c r="F288" s="66">
        <v>502</v>
      </c>
      <c r="G288" s="67">
        <v>24</v>
      </c>
      <c r="H288" s="67">
        <v>12048</v>
      </c>
      <c r="I288" s="68">
        <v>123456789</v>
      </c>
      <c r="J288" s="69" t="s">
        <v>889</v>
      </c>
    </row>
    <row r="289" spans="1:10" x14ac:dyDescent="0.3">
      <c r="A289" s="62">
        <v>45217</v>
      </c>
      <c r="B289" s="63" t="s">
        <v>1175</v>
      </c>
      <c r="C289" s="64">
        <v>123457076</v>
      </c>
      <c r="D289" s="70" t="s">
        <v>337</v>
      </c>
      <c r="E289" s="53" t="s">
        <v>868</v>
      </c>
      <c r="F289" s="66">
        <v>254</v>
      </c>
      <c r="G289" s="67">
        <v>24</v>
      </c>
      <c r="H289" s="67">
        <v>6096</v>
      </c>
      <c r="I289" s="68">
        <v>123456789</v>
      </c>
      <c r="J289" s="69" t="s">
        <v>889</v>
      </c>
    </row>
    <row r="290" spans="1:10" x14ac:dyDescent="0.3">
      <c r="A290" s="62">
        <v>45218</v>
      </c>
      <c r="B290" s="63" t="s">
        <v>1176</v>
      </c>
      <c r="C290" s="64">
        <v>123457077</v>
      </c>
      <c r="D290" s="65" t="s">
        <v>338</v>
      </c>
      <c r="E290" s="53" t="s">
        <v>868</v>
      </c>
      <c r="F290" s="66">
        <v>308</v>
      </c>
      <c r="G290" s="67">
        <v>23</v>
      </c>
      <c r="H290" s="67">
        <v>7084</v>
      </c>
      <c r="I290" s="68">
        <v>123456789</v>
      </c>
      <c r="J290" s="69" t="s">
        <v>887</v>
      </c>
    </row>
    <row r="291" spans="1:10" x14ac:dyDescent="0.3">
      <c r="A291" s="62">
        <v>45219</v>
      </c>
      <c r="B291" s="63" t="s">
        <v>1177</v>
      </c>
      <c r="C291" s="64">
        <v>123457078</v>
      </c>
      <c r="D291" s="70" t="s">
        <v>339</v>
      </c>
      <c r="E291" s="53" t="s">
        <v>868</v>
      </c>
      <c r="F291" s="66">
        <v>471</v>
      </c>
      <c r="G291" s="67">
        <v>26</v>
      </c>
      <c r="H291" s="67">
        <v>12246</v>
      </c>
      <c r="I291" s="68">
        <v>123456789</v>
      </c>
      <c r="J291" s="69" t="s">
        <v>887</v>
      </c>
    </row>
    <row r="292" spans="1:10" x14ac:dyDescent="0.3">
      <c r="A292" s="62">
        <v>45220</v>
      </c>
      <c r="B292" s="63" t="s">
        <v>1178</v>
      </c>
      <c r="C292" s="64">
        <v>123457079</v>
      </c>
      <c r="D292" s="65" t="s">
        <v>340</v>
      </c>
      <c r="E292" s="53" t="s">
        <v>869</v>
      </c>
      <c r="F292" s="66">
        <v>255</v>
      </c>
      <c r="G292" s="67">
        <v>24</v>
      </c>
      <c r="H292" s="67">
        <v>6120</v>
      </c>
      <c r="I292" s="68">
        <v>123456789</v>
      </c>
      <c r="J292" s="69" t="s">
        <v>887</v>
      </c>
    </row>
    <row r="293" spans="1:10" x14ac:dyDescent="0.3">
      <c r="A293" s="62">
        <v>45221</v>
      </c>
      <c r="B293" s="63" t="s">
        <v>1179</v>
      </c>
      <c r="C293" s="64">
        <v>123457080</v>
      </c>
      <c r="D293" s="70" t="s">
        <v>341</v>
      </c>
      <c r="E293" s="111" t="s">
        <v>868</v>
      </c>
      <c r="F293" s="66">
        <v>310</v>
      </c>
      <c r="G293" s="67">
        <v>21</v>
      </c>
      <c r="H293" s="67">
        <v>6510</v>
      </c>
      <c r="I293" s="68">
        <v>123456789</v>
      </c>
      <c r="J293" s="69" t="s">
        <v>887</v>
      </c>
    </row>
    <row r="294" spans="1:10" x14ac:dyDescent="0.3">
      <c r="A294" s="62">
        <v>45222</v>
      </c>
      <c r="B294" s="63" t="s">
        <v>1180</v>
      </c>
      <c r="C294" s="64">
        <v>123457081</v>
      </c>
      <c r="D294" s="65" t="s">
        <v>342</v>
      </c>
      <c r="E294" s="111" t="s">
        <v>868</v>
      </c>
      <c r="F294" s="66">
        <v>425</v>
      </c>
      <c r="G294" s="67">
        <v>22</v>
      </c>
      <c r="H294" s="67">
        <v>9350</v>
      </c>
      <c r="I294" s="68">
        <v>123456789</v>
      </c>
      <c r="J294" s="69" t="s">
        <v>889</v>
      </c>
    </row>
    <row r="295" spans="1:10" x14ac:dyDescent="0.3">
      <c r="A295" s="62">
        <v>45223</v>
      </c>
      <c r="B295" s="63" t="s">
        <v>1181</v>
      </c>
      <c r="C295" s="64">
        <v>123457082</v>
      </c>
      <c r="D295" s="70" t="s">
        <v>343</v>
      </c>
      <c r="E295" s="111" t="s">
        <v>868</v>
      </c>
      <c r="F295" s="66">
        <v>509</v>
      </c>
      <c r="G295" s="67">
        <v>29</v>
      </c>
      <c r="H295" s="67">
        <v>14761</v>
      </c>
      <c r="I295" s="68">
        <v>123456789</v>
      </c>
      <c r="J295" s="69" t="s">
        <v>889</v>
      </c>
    </row>
    <row r="296" spans="1:10" x14ac:dyDescent="0.3">
      <c r="A296" s="62">
        <v>45224</v>
      </c>
      <c r="B296" s="63" t="s">
        <v>1182</v>
      </c>
      <c r="C296" s="64">
        <v>123457083</v>
      </c>
      <c r="D296" s="65" t="s">
        <v>344</v>
      </c>
      <c r="E296" s="53" t="s">
        <v>869</v>
      </c>
      <c r="F296" s="66">
        <v>474</v>
      </c>
      <c r="G296" s="67">
        <v>31</v>
      </c>
      <c r="H296" s="67">
        <v>14694</v>
      </c>
      <c r="I296" s="68">
        <v>123456789</v>
      </c>
      <c r="J296" s="69" t="s">
        <v>887</v>
      </c>
    </row>
    <row r="297" spans="1:10" x14ac:dyDescent="0.3">
      <c r="A297" s="62">
        <v>45225</v>
      </c>
      <c r="B297" s="63" t="s">
        <v>1183</v>
      </c>
      <c r="C297" s="64">
        <v>123457084</v>
      </c>
      <c r="D297" s="70" t="s">
        <v>345</v>
      </c>
      <c r="E297" s="111" t="s">
        <v>868</v>
      </c>
      <c r="F297" s="66">
        <v>498</v>
      </c>
      <c r="G297" s="67">
        <v>26</v>
      </c>
      <c r="H297" s="67">
        <v>12948</v>
      </c>
      <c r="I297" s="68">
        <v>123456789</v>
      </c>
      <c r="J297" s="69" t="s">
        <v>889</v>
      </c>
    </row>
    <row r="298" spans="1:10" x14ac:dyDescent="0.3">
      <c r="A298" s="62">
        <v>45226</v>
      </c>
      <c r="B298" s="63" t="s">
        <v>1184</v>
      </c>
      <c r="C298" s="64">
        <v>123457085</v>
      </c>
      <c r="D298" s="65" t="s">
        <v>346</v>
      </c>
      <c r="E298" s="111" t="s">
        <v>868</v>
      </c>
      <c r="F298" s="66">
        <v>266</v>
      </c>
      <c r="G298" s="67">
        <v>31</v>
      </c>
      <c r="H298" s="67">
        <v>8246</v>
      </c>
      <c r="I298" s="68">
        <v>123456789</v>
      </c>
      <c r="J298" s="69" t="s">
        <v>889</v>
      </c>
    </row>
    <row r="299" spans="1:10" x14ac:dyDescent="0.3">
      <c r="A299" s="62">
        <v>45227</v>
      </c>
      <c r="B299" s="63" t="s">
        <v>1185</v>
      </c>
      <c r="C299" s="64">
        <v>123457086</v>
      </c>
      <c r="D299" s="70" t="s">
        <v>347</v>
      </c>
      <c r="E299" s="111" t="s">
        <v>868</v>
      </c>
      <c r="F299" s="66">
        <v>420</v>
      </c>
      <c r="G299" s="67">
        <v>26</v>
      </c>
      <c r="H299" s="67">
        <v>10920</v>
      </c>
      <c r="I299" s="68">
        <v>123456789</v>
      </c>
      <c r="J299" s="69" t="s">
        <v>887</v>
      </c>
    </row>
    <row r="300" spans="1:10" x14ac:dyDescent="0.3">
      <c r="A300" s="62">
        <v>45228</v>
      </c>
      <c r="B300" s="63" t="s">
        <v>1186</v>
      </c>
      <c r="C300" s="64">
        <v>123457087</v>
      </c>
      <c r="D300" s="65" t="s">
        <v>348</v>
      </c>
      <c r="E300" s="111" t="s">
        <v>868</v>
      </c>
      <c r="F300" s="66">
        <v>252</v>
      </c>
      <c r="G300" s="67">
        <v>30</v>
      </c>
      <c r="H300" s="67">
        <v>7560</v>
      </c>
      <c r="I300" s="68">
        <v>123456789</v>
      </c>
      <c r="J300" s="69" t="s">
        <v>889</v>
      </c>
    </row>
    <row r="301" spans="1:10" x14ac:dyDescent="0.3">
      <c r="A301" s="62">
        <v>45229</v>
      </c>
      <c r="B301" s="63" t="s">
        <v>1187</v>
      </c>
      <c r="C301" s="64">
        <v>123457088</v>
      </c>
      <c r="D301" s="70" t="s">
        <v>349</v>
      </c>
      <c r="E301" s="111" t="s">
        <v>868</v>
      </c>
      <c r="F301" s="66">
        <v>342</v>
      </c>
      <c r="G301" s="67">
        <v>22</v>
      </c>
      <c r="H301" s="67">
        <v>7524</v>
      </c>
      <c r="I301" s="68">
        <v>123456789</v>
      </c>
      <c r="J301" s="69" t="s">
        <v>889</v>
      </c>
    </row>
    <row r="302" spans="1:10" x14ac:dyDescent="0.3">
      <c r="A302" s="62">
        <v>45230</v>
      </c>
      <c r="B302" s="63" t="s">
        <v>1188</v>
      </c>
      <c r="C302" s="64">
        <v>123457089</v>
      </c>
      <c r="D302" s="65" t="s">
        <v>350</v>
      </c>
      <c r="E302" s="53" t="s">
        <v>869</v>
      </c>
      <c r="F302" s="66">
        <v>283</v>
      </c>
      <c r="G302" s="67">
        <v>29</v>
      </c>
      <c r="H302" s="67">
        <v>8207</v>
      </c>
      <c r="I302" s="68">
        <v>123456789</v>
      </c>
      <c r="J302" s="69" t="s">
        <v>887</v>
      </c>
    </row>
    <row r="303" spans="1:10" x14ac:dyDescent="0.3">
      <c r="A303" s="62">
        <v>45231</v>
      </c>
      <c r="B303" s="63" t="s">
        <v>1189</v>
      </c>
      <c r="C303" s="64">
        <v>123457090</v>
      </c>
      <c r="D303" s="70" t="s">
        <v>351</v>
      </c>
      <c r="E303" s="111" t="s">
        <v>868</v>
      </c>
      <c r="F303" s="66">
        <v>277</v>
      </c>
      <c r="G303" s="67">
        <v>31</v>
      </c>
      <c r="H303" s="67">
        <v>8587</v>
      </c>
      <c r="I303" s="68">
        <v>123456789</v>
      </c>
      <c r="J303" s="69" t="s">
        <v>887</v>
      </c>
    </row>
    <row r="304" spans="1:10" x14ac:dyDescent="0.3">
      <c r="A304" s="62">
        <v>45232</v>
      </c>
      <c r="B304" s="63" t="s">
        <v>1190</v>
      </c>
      <c r="C304" s="64">
        <v>123457091</v>
      </c>
      <c r="D304" s="65" t="s">
        <v>352</v>
      </c>
      <c r="E304" s="111" t="s">
        <v>868</v>
      </c>
      <c r="F304" s="66">
        <v>210</v>
      </c>
      <c r="G304" s="67">
        <v>21</v>
      </c>
      <c r="H304" s="67">
        <v>4410</v>
      </c>
      <c r="I304" s="68">
        <v>123456789</v>
      </c>
      <c r="J304" s="69" t="s">
        <v>887</v>
      </c>
    </row>
    <row r="305" spans="1:10" x14ac:dyDescent="0.3">
      <c r="A305" s="62">
        <v>45233</v>
      </c>
      <c r="B305" s="63" t="s">
        <v>1191</v>
      </c>
      <c r="C305" s="64">
        <v>123457092</v>
      </c>
      <c r="D305" s="70" t="s">
        <v>353</v>
      </c>
      <c r="E305" s="111" t="s">
        <v>868</v>
      </c>
      <c r="F305" s="66">
        <v>259</v>
      </c>
      <c r="G305" s="67">
        <v>25</v>
      </c>
      <c r="H305" s="67">
        <v>6475</v>
      </c>
      <c r="I305" s="68">
        <v>123456789</v>
      </c>
      <c r="J305" s="69" t="s">
        <v>887</v>
      </c>
    </row>
    <row r="306" spans="1:10" x14ac:dyDescent="0.3">
      <c r="A306" s="62">
        <v>45234</v>
      </c>
      <c r="B306" s="63" t="s">
        <v>1192</v>
      </c>
      <c r="C306" s="64">
        <v>123457093</v>
      </c>
      <c r="D306" s="65" t="s">
        <v>354</v>
      </c>
      <c r="E306" s="53" t="s">
        <v>869</v>
      </c>
      <c r="F306" s="66">
        <v>222</v>
      </c>
      <c r="G306" s="67">
        <v>26</v>
      </c>
      <c r="H306" s="67">
        <v>5772</v>
      </c>
      <c r="I306" s="68">
        <v>123456789</v>
      </c>
      <c r="J306" s="69" t="s">
        <v>889</v>
      </c>
    </row>
    <row r="307" spans="1:10" x14ac:dyDescent="0.3">
      <c r="A307" s="62">
        <v>45235</v>
      </c>
      <c r="B307" s="63" t="s">
        <v>1193</v>
      </c>
      <c r="C307" s="64">
        <v>123457094</v>
      </c>
      <c r="D307" s="70" t="s">
        <v>355</v>
      </c>
      <c r="E307" s="111" t="s">
        <v>868</v>
      </c>
      <c r="F307" s="66">
        <v>270</v>
      </c>
      <c r="G307" s="67">
        <v>22</v>
      </c>
      <c r="H307" s="67">
        <v>5940</v>
      </c>
      <c r="I307" s="68">
        <v>123456789</v>
      </c>
      <c r="J307" s="69" t="s">
        <v>887</v>
      </c>
    </row>
    <row r="308" spans="1:10" x14ac:dyDescent="0.3">
      <c r="A308" s="62">
        <v>45236</v>
      </c>
      <c r="B308" s="63" t="s">
        <v>1194</v>
      </c>
      <c r="C308" s="64">
        <v>123457095</v>
      </c>
      <c r="D308" s="65" t="s">
        <v>356</v>
      </c>
      <c r="E308" s="111" t="s">
        <v>868</v>
      </c>
      <c r="F308" s="66">
        <v>277</v>
      </c>
      <c r="G308" s="67">
        <v>26</v>
      </c>
      <c r="H308" s="67">
        <v>7202</v>
      </c>
      <c r="I308" s="68">
        <v>123456789</v>
      </c>
      <c r="J308" s="69" t="s">
        <v>887</v>
      </c>
    </row>
    <row r="309" spans="1:10" x14ac:dyDescent="0.3">
      <c r="A309" s="62">
        <v>45237</v>
      </c>
      <c r="B309" s="63" t="s">
        <v>1195</v>
      </c>
      <c r="C309" s="64">
        <v>123457096</v>
      </c>
      <c r="D309" s="70" t="s">
        <v>357</v>
      </c>
      <c r="E309" s="111" t="s">
        <v>868</v>
      </c>
      <c r="F309" s="66">
        <v>287</v>
      </c>
      <c r="G309" s="67">
        <v>24</v>
      </c>
      <c r="H309" s="67">
        <v>6888</v>
      </c>
      <c r="I309" s="68">
        <v>123456789</v>
      </c>
      <c r="J309" s="69" t="s">
        <v>887</v>
      </c>
    </row>
    <row r="310" spans="1:10" x14ac:dyDescent="0.3">
      <c r="A310" s="62">
        <v>45238</v>
      </c>
      <c r="B310" s="63" t="s">
        <v>1196</v>
      </c>
      <c r="C310" s="64">
        <v>123457097</v>
      </c>
      <c r="D310" s="65" t="s">
        <v>358</v>
      </c>
      <c r="E310" s="111" t="s">
        <v>868</v>
      </c>
      <c r="F310" s="66">
        <v>218</v>
      </c>
      <c r="G310" s="67">
        <v>25</v>
      </c>
      <c r="H310" s="67">
        <v>5450</v>
      </c>
      <c r="I310" s="68">
        <v>123456789</v>
      </c>
      <c r="J310" s="69" t="s">
        <v>887</v>
      </c>
    </row>
    <row r="311" spans="1:10" x14ac:dyDescent="0.3">
      <c r="A311" s="62">
        <v>45239</v>
      </c>
      <c r="B311" s="63" t="s">
        <v>1197</v>
      </c>
      <c r="C311" s="64">
        <v>123457098</v>
      </c>
      <c r="D311" s="70" t="s">
        <v>359</v>
      </c>
      <c r="E311" s="111" t="s">
        <v>869</v>
      </c>
      <c r="F311" s="66">
        <v>286</v>
      </c>
      <c r="G311" s="67">
        <v>29</v>
      </c>
      <c r="H311" s="67">
        <v>8294</v>
      </c>
      <c r="I311" s="68">
        <v>123456789</v>
      </c>
      <c r="J311" s="69" t="s">
        <v>887</v>
      </c>
    </row>
    <row r="312" spans="1:10" x14ac:dyDescent="0.3">
      <c r="A312" s="62">
        <v>45240</v>
      </c>
      <c r="B312" s="63" t="s">
        <v>1198</v>
      </c>
      <c r="C312" s="64">
        <v>123457099</v>
      </c>
      <c r="D312" s="65" t="s">
        <v>360</v>
      </c>
      <c r="E312" s="53" t="s">
        <v>868</v>
      </c>
      <c r="F312" s="66">
        <v>209</v>
      </c>
      <c r="G312" s="67">
        <v>27</v>
      </c>
      <c r="H312" s="67">
        <v>5643</v>
      </c>
      <c r="I312" s="68">
        <v>123456789</v>
      </c>
      <c r="J312" s="69" t="s">
        <v>889</v>
      </c>
    </row>
    <row r="313" spans="1:10" x14ac:dyDescent="0.3">
      <c r="A313" s="62">
        <v>45241</v>
      </c>
      <c r="B313" s="63" t="s">
        <v>1199</v>
      </c>
      <c r="C313" s="64">
        <v>123457100</v>
      </c>
      <c r="D313" s="70" t="s">
        <v>361</v>
      </c>
      <c r="E313" s="53" t="s">
        <v>868</v>
      </c>
      <c r="F313" s="66">
        <v>203</v>
      </c>
      <c r="G313" s="67">
        <v>27</v>
      </c>
      <c r="H313" s="67">
        <v>5481</v>
      </c>
      <c r="I313" s="68">
        <v>123456789</v>
      </c>
      <c r="J313" s="69" t="s">
        <v>887</v>
      </c>
    </row>
    <row r="314" spans="1:10" x14ac:dyDescent="0.3">
      <c r="A314" s="62">
        <v>45242</v>
      </c>
      <c r="B314" s="63" t="s">
        <v>1200</v>
      </c>
      <c r="C314" s="64">
        <v>123457101</v>
      </c>
      <c r="D314" s="65" t="s">
        <v>362</v>
      </c>
      <c r="E314" s="53" t="s">
        <v>869</v>
      </c>
      <c r="F314" s="66">
        <v>266</v>
      </c>
      <c r="G314" s="67">
        <v>22</v>
      </c>
      <c r="H314" s="67">
        <v>5852</v>
      </c>
      <c r="I314" s="68">
        <v>123456789</v>
      </c>
      <c r="J314" s="69" t="s">
        <v>887</v>
      </c>
    </row>
    <row r="315" spans="1:10" x14ac:dyDescent="0.3">
      <c r="A315" s="62">
        <v>45243</v>
      </c>
      <c r="B315" s="63" t="s">
        <v>1201</v>
      </c>
      <c r="C315" s="64">
        <v>123457102</v>
      </c>
      <c r="D315" s="70" t="s">
        <v>363</v>
      </c>
      <c r="E315" s="111" t="s">
        <v>868</v>
      </c>
      <c r="F315" s="66">
        <v>286</v>
      </c>
      <c r="G315" s="67">
        <v>28</v>
      </c>
      <c r="H315" s="67">
        <v>8008</v>
      </c>
      <c r="I315" s="68">
        <v>123456789</v>
      </c>
      <c r="J315" s="69" t="s">
        <v>889</v>
      </c>
    </row>
    <row r="316" spans="1:10" x14ac:dyDescent="0.3">
      <c r="A316" s="62">
        <v>45244</v>
      </c>
      <c r="B316" s="63" t="s">
        <v>1202</v>
      </c>
      <c r="C316" s="64">
        <v>123457103</v>
      </c>
      <c r="D316" s="65" t="s">
        <v>364</v>
      </c>
      <c r="E316" s="111" t="s">
        <v>868</v>
      </c>
      <c r="F316" s="66">
        <v>202</v>
      </c>
      <c r="G316" s="67">
        <v>25</v>
      </c>
      <c r="H316" s="67">
        <v>5050</v>
      </c>
      <c r="I316" s="68">
        <v>123456789</v>
      </c>
      <c r="J316" s="69" t="s">
        <v>887</v>
      </c>
    </row>
    <row r="317" spans="1:10" x14ac:dyDescent="0.3">
      <c r="A317" s="62">
        <v>45245</v>
      </c>
      <c r="B317" s="63" t="s">
        <v>1203</v>
      </c>
      <c r="C317" s="64">
        <v>123457104</v>
      </c>
      <c r="D317" s="70" t="s">
        <v>365</v>
      </c>
      <c r="E317" s="111" t="s">
        <v>868</v>
      </c>
      <c r="F317" s="66">
        <v>268</v>
      </c>
      <c r="G317" s="67">
        <v>24</v>
      </c>
      <c r="H317" s="67">
        <v>6432</v>
      </c>
      <c r="I317" s="68">
        <v>123456789</v>
      </c>
      <c r="J317" s="69" t="s">
        <v>889</v>
      </c>
    </row>
    <row r="318" spans="1:10" x14ac:dyDescent="0.3">
      <c r="A318" s="62">
        <v>45246</v>
      </c>
      <c r="B318" s="63" t="s">
        <v>1204</v>
      </c>
      <c r="C318" s="64">
        <v>123457105</v>
      </c>
      <c r="D318" s="65" t="s">
        <v>366</v>
      </c>
      <c r="E318" s="111" t="s">
        <v>868</v>
      </c>
      <c r="F318" s="66">
        <v>247</v>
      </c>
      <c r="G318" s="67">
        <v>30</v>
      </c>
      <c r="H318" s="67">
        <v>7410</v>
      </c>
      <c r="I318" s="68">
        <v>123456789</v>
      </c>
      <c r="J318" s="69" t="s">
        <v>887</v>
      </c>
    </row>
    <row r="319" spans="1:10" x14ac:dyDescent="0.3">
      <c r="A319" s="62">
        <v>45247</v>
      </c>
      <c r="B319" s="63" t="s">
        <v>1205</v>
      </c>
      <c r="C319" s="64">
        <v>123457106</v>
      </c>
      <c r="D319" s="70" t="s">
        <v>367</v>
      </c>
      <c r="E319" s="111" t="s">
        <v>868</v>
      </c>
      <c r="F319" s="66">
        <v>233</v>
      </c>
      <c r="G319" s="67">
        <v>24</v>
      </c>
      <c r="H319" s="67">
        <v>5592</v>
      </c>
      <c r="I319" s="68">
        <v>123456789</v>
      </c>
      <c r="J319" s="69" t="s">
        <v>887</v>
      </c>
    </row>
    <row r="320" spans="1:10" x14ac:dyDescent="0.3">
      <c r="A320" s="62">
        <v>45248</v>
      </c>
      <c r="B320" s="63" t="s">
        <v>1206</v>
      </c>
      <c r="C320" s="64">
        <v>123457107</v>
      </c>
      <c r="D320" s="65" t="s">
        <v>368</v>
      </c>
      <c r="E320" s="111" t="s">
        <v>868</v>
      </c>
      <c r="F320" s="66">
        <v>284</v>
      </c>
      <c r="G320" s="67">
        <v>24</v>
      </c>
      <c r="H320" s="67">
        <v>6816</v>
      </c>
      <c r="I320" s="68">
        <v>123456789</v>
      </c>
      <c r="J320" s="69" t="s">
        <v>889</v>
      </c>
    </row>
    <row r="321" spans="1:10" x14ac:dyDescent="0.3">
      <c r="A321" s="62">
        <v>45249</v>
      </c>
      <c r="B321" s="63" t="s">
        <v>1207</v>
      </c>
      <c r="C321" s="64">
        <v>123457108</v>
      </c>
      <c r="D321" s="70" t="s">
        <v>369</v>
      </c>
      <c r="E321" s="111" t="s">
        <v>869</v>
      </c>
      <c r="F321" s="66">
        <v>210</v>
      </c>
      <c r="G321" s="67">
        <v>30</v>
      </c>
      <c r="H321" s="67">
        <v>6300</v>
      </c>
      <c r="I321" s="68">
        <v>123456789</v>
      </c>
      <c r="J321" s="69" t="s">
        <v>887</v>
      </c>
    </row>
    <row r="322" spans="1:10" x14ac:dyDescent="0.3">
      <c r="A322" s="62">
        <v>45250</v>
      </c>
      <c r="B322" s="63" t="s">
        <v>1208</v>
      </c>
      <c r="C322" s="64">
        <v>123457109</v>
      </c>
      <c r="D322" s="65" t="s">
        <v>370</v>
      </c>
      <c r="E322" s="53" t="s">
        <v>868</v>
      </c>
      <c r="F322" s="66">
        <v>262</v>
      </c>
      <c r="G322" s="67">
        <v>26</v>
      </c>
      <c r="H322" s="67">
        <v>6812</v>
      </c>
      <c r="I322" s="68">
        <v>123456789</v>
      </c>
      <c r="J322" s="69" t="s">
        <v>887</v>
      </c>
    </row>
    <row r="323" spans="1:10" x14ac:dyDescent="0.3">
      <c r="A323" s="62">
        <v>45251</v>
      </c>
      <c r="B323" s="63" t="s">
        <v>1209</v>
      </c>
      <c r="C323" s="64">
        <v>123457110</v>
      </c>
      <c r="D323" s="70" t="s">
        <v>371</v>
      </c>
      <c r="E323" s="53" t="s">
        <v>868</v>
      </c>
      <c r="F323" s="66">
        <v>268</v>
      </c>
      <c r="G323" s="67">
        <v>21</v>
      </c>
      <c r="H323" s="67">
        <v>5628</v>
      </c>
      <c r="I323" s="68">
        <v>123456789</v>
      </c>
      <c r="J323" s="69" t="s">
        <v>889</v>
      </c>
    </row>
    <row r="324" spans="1:10" x14ac:dyDescent="0.3">
      <c r="A324" s="62">
        <v>45252</v>
      </c>
      <c r="B324" s="63" t="s">
        <v>1210</v>
      </c>
      <c r="C324" s="64">
        <v>123457111</v>
      </c>
      <c r="D324" s="65" t="s">
        <v>372</v>
      </c>
      <c r="E324" s="53" t="s">
        <v>868</v>
      </c>
      <c r="F324" s="66">
        <v>286</v>
      </c>
      <c r="G324" s="67">
        <v>29</v>
      </c>
      <c r="H324" s="67">
        <v>8294</v>
      </c>
      <c r="I324" s="68">
        <v>123456789</v>
      </c>
      <c r="J324" s="69" t="s">
        <v>887</v>
      </c>
    </row>
    <row r="325" spans="1:10" x14ac:dyDescent="0.3">
      <c r="A325" s="62">
        <v>45253</v>
      </c>
      <c r="B325" s="63" t="s">
        <v>1211</v>
      </c>
      <c r="C325" s="64">
        <v>123457112</v>
      </c>
      <c r="D325" s="70" t="s">
        <v>373</v>
      </c>
      <c r="E325" s="53" t="s">
        <v>868</v>
      </c>
      <c r="F325" s="66">
        <v>233</v>
      </c>
      <c r="G325" s="67">
        <v>30</v>
      </c>
      <c r="H325" s="67">
        <v>6990</v>
      </c>
      <c r="I325" s="68">
        <v>123456789</v>
      </c>
      <c r="J325" s="69" t="s">
        <v>887</v>
      </c>
    </row>
    <row r="326" spans="1:10" x14ac:dyDescent="0.3">
      <c r="A326" s="62">
        <v>45254</v>
      </c>
      <c r="B326" s="63" t="s">
        <v>1212</v>
      </c>
      <c r="C326" s="64">
        <v>123457113</v>
      </c>
      <c r="D326" s="65" t="s">
        <v>374</v>
      </c>
      <c r="E326" s="53" t="s">
        <v>868</v>
      </c>
      <c r="F326" s="66">
        <v>288</v>
      </c>
      <c r="G326" s="67">
        <v>25</v>
      </c>
      <c r="H326" s="67">
        <v>7200</v>
      </c>
      <c r="I326" s="68">
        <v>123456789</v>
      </c>
      <c r="J326" s="69" t="s">
        <v>887</v>
      </c>
    </row>
    <row r="327" spans="1:10" x14ac:dyDescent="0.3">
      <c r="A327" s="62">
        <v>45255</v>
      </c>
      <c r="B327" s="63" t="s">
        <v>1213</v>
      </c>
      <c r="C327" s="64">
        <v>123457114</v>
      </c>
      <c r="D327" s="70" t="s">
        <v>375</v>
      </c>
      <c r="E327" s="53" t="s">
        <v>868</v>
      </c>
      <c r="F327" s="66">
        <v>221</v>
      </c>
      <c r="G327" s="67">
        <v>30</v>
      </c>
      <c r="H327" s="67">
        <v>6630</v>
      </c>
      <c r="I327" s="68">
        <v>123456789</v>
      </c>
      <c r="J327" s="69" t="s">
        <v>887</v>
      </c>
    </row>
    <row r="328" spans="1:10" x14ac:dyDescent="0.3">
      <c r="A328" s="62">
        <v>45256</v>
      </c>
      <c r="B328" s="63" t="s">
        <v>1214</v>
      </c>
      <c r="C328" s="64">
        <v>123457115</v>
      </c>
      <c r="D328" s="65" t="s">
        <v>376</v>
      </c>
      <c r="E328" s="53" t="s">
        <v>868</v>
      </c>
      <c r="F328" s="66">
        <v>208</v>
      </c>
      <c r="G328" s="67">
        <v>24</v>
      </c>
      <c r="H328" s="67">
        <v>4992</v>
      </c>
      <c r="I328" s="68">
        <v>123456789</v>
      </c>
      <c r="J328" s="69" t="s">
        <v>887</v>
      </c>
    </row>
    <row r="329" spans="1:10" x14ac:dyDescent="0.3">
      <c r="A329" s="62">
        <v>45257</v>
      </c>
      <c r="B329" s="63" t="s">
        <v>1215</v>
      </c>
      <c r="C329" s="64">
        <v>123457116</v>
      </c>
      <c r="D329" s="70" t="s">
        <v>377</v>
      </c>
      <c r="E329" s="111" t="s">
        <v>869</v>
      </c>
      <c r="F329" s="66">
        <v>246</v>
      </c>
      <c r="G329" s="67">
        <v>29</v>
      </c>
      <c r="H329" s="67">
        <v>7134</v>
      </c>
      <c r="I329" s="68">
        <v>123456789</v>
      </c>
      <c r="J329" s="69" t="s">
        <v>887</v>
      </c>
    </row>
    <row r="330" spans="1:10" x14ac:dyDescent="0.3">
      <c r="A330" s="62">
        <v>45258</v>
      </c>
      <c r="B330" s="63" t="s">
        <v>1216</v>
      </c>
      <c r="C330" s="64">
        <v>123457117</v>
      </c>
      <c r="D330" s="65" t="s">
        <v>378</v>
      </c>
      <c r="E330" s="53" t="s">
        <v>869</v>
      </c>
      <c r="F330" s="66">
        <v>212</v>
      </c>
      <c r="G330" s="67">
        <v>29</v>
      </c>
      <c r="H330" s="67">
        <v>6148</v>
      </c>
      <c r="I330" s="68">
        <v>123456789</v>
      </c>
      <c r="J330" s="69" t="s">
        <v>889</v>
      </c>
    </row>
    <row r="331" spans="1:10" x14ac:dyDescent="0.3">
      <c r="A331" s="62">
        <v>45259</v>
      </c>
      <c r="B331" s="63" t="s">
        <v>1217</v>
      </c>
      <c r="C331" s="64">
        <v>123457118</v>
      </c>
      <c r="D331" s="70" t="s">
        <v>379</v>
      </c>
      <c r="E331" s="111" t="s">
        <v>868</v>
      </c>
      <c r="F331" s="66">
        <v>279</v>
      </c>
      <c r="G331" s="67">
        <v>24</v>
      </c>
      <c r="H331" s="67">
        <v>6696</v>
      </c>
      <c r="I331" s="68">
        <v>123456789</v>
      </c>
      <c r="J331" s="69" t="s">
        <v>887</v>
      </c>
    </row>
    <row r="332" spans="1:10" x14ac:dyDescent="0.3">
      <c r="A332" s="62">
        <v>45260</v>
      </c>
      <c r="B332" s="63" t="s">
        <v>1218</v>
      </c>
      <c r="C332" s="64">
        <v>123457119</v>
      </c>
      <c r="D332" s="65" t="s">
        <v>380</v>
      </c>
      <c r="E332" s="53" t="s">
        <v>869</v>
      </c>
      <c r="F332" s="66">
        <v>209</v>
      </c>
      <c r="G332" s="67">
        <v>27</v>
      </c>
      <c r="H332" s="67">
        <v>5643</v>
      </c>
      <c r="I332" s="68">
        <v>123456789</v>
      </c>
      <c r="J332" s="69" t="s">
        <v>889</v>
      </c>
    </row>
    <row r="333" spans="1:10" x14ac:dyDescent="0.3">
      <c r="A333" s="62">
        <v>45261</v>
      </c>
      <c r="B333" s="63" t="s">
        <v>1219</v>
      </c>
      <c r="C333" s="64">
        <v>123457120</v>
      </c>
      <c r="D333" s="70" t="s">
        <v>381</v>
      </c>
      <c r="E333" s="111" t="s">
        <v>868</v>
      </c>
      <c r="F333" s="66">
        <v>216</v>
      </c>
      <c r="G333" s="67">
        <v>30</v>
      </c>
      <c r="H333" s="67">
        <v>6480</v>
      </c>
      <c r="I333" s="68">
        <v>123456789</v>
      </c>
      <c r="J333" s="69" t="s">
        <v>887</v>
      </c>
    </row>
    <row r="334" spans="1:10" x14ac:dyDescent="0.3">
      <c r="A334" s="62">
        <v>45262</v>
      </c>
      <c r="B334" s="63" t="s">
        <v>1220</v>
      </c>
      <c r="C334" s="64">
        <v>123457121</v>
      </c>
      <c r="D334" s="65" t="s">
        <v>382</v>
      </c>
      <c r="E334" s="53" t="s">
        <v>869</v>
      </c>
      <c r="F334" s="66">
        <v>286</v>
      </c>
      <c r="G334" s="67">
        <v>29</v>
      </c>
      <c r="H334" s="67">
        <v>8294</v>
      </c>
      <c r="I334" s="68">
        <v>123456789</v>
      </c>
      <c r="J334" s="69" t="s">
        <v>887</v>
      </c>
    </row>
    <row r="335" spans="1:10" x14ac:dyDescent="0.3">
      <c r="A335" s="62">
        <v>45263</v>
      </c>
      <c r="B335" s="63" t="s">
        <v>1221</v>
      </c>
      <c r="C335" s="64">
        <v>123457122</v>
      </c>
      <c r="D335" s="70" t="s">
        <v>383</v>
      </c>
      <c r="E335" s="111" t="s">
        <v>868</v>
      </c>
      <c r="F335" s="66">
        <v>261</v>
      </c>
      <c r="G335" s="67">
        <v>25</v>
      </c>
      <c r="H335" s="67">
        <v>6525</v>
      </c>
      <c r="I335" s="68">
        <v>123456789</v>
      </c>
      <c r="J335" s="69" t="s">
        <v>887</v>
      </c>
    </row>
    <row r="336" spans="1:10" x14ac:dyDescent="0.3">
      <c r="A336" s="62">
        <v>45264</v>
      </c>
      <c r="B336" s="63" t="s">
        <v>1222</v>
      </c>
      <c r="C336" s="64">
        <v>123457123</v>
      </c>
      <c r="D336" s="65" t="s">
        <v>384</v>
      </c>
      <c r="E336" s="111" t="s">
        <v>868</v>
      </c>
      <c r="F336" s="66">
        <v>237</v>
      </c>
      <c r="G336" s="67">
        <v>29</v>
      </c>
      <c r="H336" s="67">
        <v>6873</v>
      </c>
      <c r="I336" s="68">
        <v>123456789</v>
      </c>
      <c r="J336" s="69" t="s">
        <v>889</v>
      </c>
    </row>
    <row r="337" spans="1:10" x14ac:dyDescent="0.3">
      <c r="A337" s="62">
        <v>45265</v>
      </c>
      <c r="B337" s="63" t="s">
        <v>1223</v>
      </c>
      <c r="C337" s="64">
        <v>123457124</v>
      </c>
      <c r="D337" s="70" t="s">
        <v>385</v>
      </c>
      <c r="E337" s="111" t="s">
        <v>868</v>
      </c>
      <c r="F337" s="66">
        <v>253</v>
      </c>
      <c r="G337" s="67">
        <v>31</v>
      </c>
      <c r="H337" s="67">
        <v>7843</v>
      </c>
      <c r="I337" s="68">
        <v>123456789</v>
      </c>
      <c r="J337" s="69" t="s">
        <v>889</v>
      </c>
    </row>
    <row r="338" spans="1:10" x14ac:dyDescent="0.3">
      <c r="A338" s="62">
        <v>45266</v>
      </c>
      <c r="B338" s="63" t="s">
        <v>1224</v>
      </c>
      <c r="C338" s="64">
        <v>123457125</v>
      </c>
      <c r="D338" s="65" t="s">
        <v>386</v>
      </c>
      <c r="E338" s="53" t="s">
        <v>869</v>
      </c>
      <c r="F338" s="66">
        <v>251</v>
      </c>
      <c r="G338" s="67">
        <v>26</v>
      </c>
      <c r="H338" s="67">
        <v>6526</v>
      </c>
      <c r="I338" s="68">
        <v>123456789</v>
      </c>
      <c r="J338" s="69" t="s">
        <v>887</v>
      </c>
    </row>
    <row r="339" spans="1:10" x14ac:dyDescent="0.3">
      <c r="A339" s="62">
        <v>45267</v>
      </c>
      <c r="B339" s="63" t="s">
        <v>1225</v>
      </c>
      <c r="C339" s="64">
        <v>123457126</v>
      </c>
      <c r="D339" s="70" t="s">
        <v>387</v>
      </c>
      <c r="E339" s="111" t="s">
        <v>868</v>
      </c>
      <c r="F339" s="66">
        <v>258</v>
      </c>
      <c r="G339" s="67">
        <v>24</v>
      </c>
      <c r="H339" s="67">
        <v>6192</v>
      </c>
      <c r="I339" s="68">
        <v>123456789</v>
      </c>
      <c r="J339" s="69" t="s">
        <v>889</v>
      </c>
    </row>
    <row r="340" spans="1:10" x14ac:dyDescent="0.3">
      <c r="A340" s="62">
        <v>45268</v>
      </c>
      <c r="B340" s="63" t="s">
        <v>1226</v>
      </c>
      <c r="C340" s="64">
        <v>123457127</v>
      </c>
      <c r="D340" s="65" t="s">
        <v>388</v>
      </c>
      <c r="E340" s="53" t="s">
        <v>869</v>
      </c>
      <c r="F340" s="66">
        <v>294</v>
      </c>
      <c r="G340" s="67">
        <v>31</v>
      </c>
      <c r="H340" s="67">
        <v>9114</v>
      </c>
      <c r="I340" s="68">
        <v>123456789</v>
      </c>
      <c r="J340" s="69" t="s">
        <v>887</v>
      </c>
    </row>
    <row r="341" spans="1:10" x14ac:dyDescent="0.3">
      <c r="A341" s="62">
        <v>45269</v>
      </c>
      <c r="B341" s="63" t="s">
        <v>1227</v>
      </c>
      <c r="C341" s="64">
        <v>123457128</v>
      </c>
      <c r="D341" s="70" t="s">
        <v>389</v>
      </c>
      <c r="E341" s="111" t="s">
        <v>868</v>
      </c>
      <c r="F341" s="66">
        <v>220</v>
      </c>
      <c r="G341" s="67">
        <v>25</v>
      </c>
      <c r="H341" s="67">
        <v>5500</v>
      </c>
      <c r="I341" s="68">
        <v>123456789</v>
      </c>
      <c r="J341" s="69" t="s">
        <v>887</v>
      </c>
    </row>
    <row r="342" spans="1:10" x14ac:dyDescent="0.3">
      <c r="A342" s="62">
        <v>45270</v>
      </c>
      <c r="B342" s="63" t="s">
        <v>1228</v>
      </c>
      <c r="C342" s="64">
        <v>123457129</v>
      </c>
      <c r="D342" s="65" t="s">
        <v>390</v>
      </c>
      <c r="E342" s="111" t="s">
        <v>868</v>
      </c>
      <c r="F342" s="66">
        <v>265</v>
      </c>
      <c r="G342" s="67">
        <v>31</v>
      </c>
      <c r="H342" s="67">
        <v>8215</v>
      </c>
      <c r="I342" s="68">
        <v>123456789</v>
      </c>
      <c r="J342" s="69" t="s">
        <v>887</v>
      </c>
    </row>
    <row r="343" spans="1:10" x14ac:dyDescent="0.3">
      <c r="A343" s="62">
        <v>45271</v>
      </c>
      <c r="B343" s="63" t="s">
        <v>1229</v>
      </c>
      <c r="C343" s="64">
        <v>123457130</v>
      </c>
      <c r="D343" s="70" t="s">
        <v>391</v>
      </c>
      <c r="E343" s="111" t="s">
        <v>868</v>
      </c>
      <c r="F343" s="66">
        <v>203</v>
      </c>
      <c r="G343" s="67">
        <v>28</v>
      </c>
      <c r="H343" s="67">
        <v>5684</v>
      </c>
      <c r="I343" s="68">
        <v>123456789</v>
      </c>
      <c r="J343" s="69" t="s">
        <v>887</v>
      </c>
    </row>
    <row r="344" spans="1:10" x14ac:dyDescent="0.3">
      <c r="A344" s="62">
        <v>45272</v>
      </c>
      <c r="B344" s="63" t="s">
        <v>1230</v>
      </c>
      <c r="C344" s="64">
        <v>123457131</v>
      </c>
      <c r="D344" s="65" t="s">
        <v>392</v>
      </c>
      <c r="E344" s="111" t="s">
        <v>868</v>
      </c>
      <c r="F344" s="66">
        <v>207</v>
      </c>
      <c r="G344" s="67">
        <v>24</v>
      </c>
      <c r="H344" s="67">
        <v>4968</v>
      </c>
      <c r="I344" s="68">
        <v>123456789</v>
      </c>
      <c r="J344" s="69" t="s">
        <v>887</v>
      </c>
    </row>
    <row r="345" spans="1:10" x14ac:dyDescent="0.3">
      <c r="A345" s="62">
        <v>45273</v>
      </c>
      <c r="B345" s="63" t="s">
        <v>1231</v>
      </c>
      <c r="C345" s="64">
        <v>123457132</v>
      </c>
      <c r="D345" s="70" t="s">
        <v>393</v>
      </c>
      <c r="E345" s="111" t="s">
        <v>868</v>
      </c>
      <c r="F345" s="66">
        <v>299</v>
      </c>
      <c r="G345" s="67">
        <v>23</v>
      </c>
      <c r="H345" s="67">
        <v>6877</v>
      </c>
      <c r="I345" s="68">
        <v>123456789</v>
      </c>
      <c r="J345" s="69" t="s">
        <v>887</v>
      </c>
    </row>
    <row r="346" spans="1:10" x14ac:dyDescent="0.3">
      <c r="A346" s="62">
        <v>45274</v>
      </c>
      <c r="B346" s="63" t="s">
        <v>1232</v>
      </c>
      <c r="C346" s="64">
        <v>123457133</v>
      </c>
      <c r="D346" s="65" t="s">
        <v>394</v>
      </c>
      <c r="E346" s="111" t="s">
        <v>868</v>
      </c>
      <c r="F346" s="66">
        <v>268</v>
      </c>
      <c r="G346" s="67">
        <v>30</v>
      </c>
      <c r="H346" s="67">
        <v>8040</v>
      </c>
      <c r="I346" s="68">
        <v>123456789</v>
      </c>
      <c r="J346" s="69" t="s">
        <v>887</v>
      </c>
    </row>
    <row r="347" spans="1:10" x14ac:dyDescent="0.3">
      <c r="A347" s="62">
        <v>45275</v>
      </c>
      <c r="B347" s="63" t="s">
        <v>1233</v>
      </c>
      <c r="C347" s="64">
        <v>123457134</v>
      </c>
      <c r="D347" s="70" t="s">
        <v>395</v>
      </c>
      <c r="E347" s="111" t="s">
        <v>868</v>
      </c>
      <c r="F347" s="66">
        <v>223</v>
      </c>
      <c r="G347" s="67">
        <v>25</v>
      </c>
      <c r="H347" s="67">
        <v>5575</v>
      </c>
      <c r="I347" s="68">
        <v>123456789</v>
      </c>
      <c r="J347" s="69" t="s">
        <v>889</v>
      </c>
    </row>
    <row r="348" spans="1:10" x14ac:dyDescent="0.3">
      <c r="A348" s="62">
        <v>45276</v>
      </c>
      <c r="B348" s="63" t="s">
        <v>1234</v>
      </c>
      <c r="C348" s="64">
        <v>123457135</v>
      </c>
      <c r="D348" s="65" t="s">
        <v>396</v>
      </c>
      <c r="E348" s="53" t="s">
        <v>869</v>
      </c>
      <c r="F348" s="66">
        <v>269</v>
      </c>
      <c r="G348" s="67">
        <v>26</v>
      </c>
      <c r="H348" s="67">
        <v>6994</v>
      </c>
      <c r="I348" s="68">
        <v>123456789</v>
      </c>
      <c r="J348" s="69" t="s">
        <v>887</v>
      </c>
    </row>
    <row r="349" spans="1:10" x14ac:dyDescent="0.3">
      <c r="A349" s="62">
        <v>45277</v>
      </c>
      <c r="B349" s="63" t="s">
        <v>1235</v>
      </c>
      <c r="C349" s="64">
        <v>123457136</v>
      </c>
      <c r="D349" s="70" t="s">
        <v>397</v>
      </c>
      <c r="E349" s="111" t="s">
        <v>869</v>
      </c>
      <c r="F349" s="66">
        <v>253</v>
      </c>
      <c r="G349" s="67">
        <v>30</v>
      </c>
      <c r="H349" s="67">
        <v>7590</v>
      </c>
      <c r="I349" s="68">
        <v>123456789</v>
      </c>
      <c r="J349" s="69" t="s">
        <v>887</v>
      </c>
    </row>
    <row r="350" spans="1:10" x14ac:dyDescent="0.3">
      <c r="A350" s="62">
        <v>45278</v>
      </c>
      <c r="B350" s="63" t="s">
        <v>1236</v>
      </c>
      <c r="C350" s="64">
        <v>123457137</v>
      </c>
      <c r="D350" s="65" t="s">
        <v>398</v>
      </c>
      <c r="E350" s="53" t="s">
        <v>868</v>
      </c>
      <c r="F350" s="66">
        <v>206</v>
      </c>
      <c r="G350" s="67">
        <v>22</v>
      </c>
      <c r="H350" s="67">
        <v>4532</v>
      </c>
      <c r="I350" s="68">
        <v>123456789</v>
      </c>
      <c r="J350" s="69" t="s">
        <v>889</v>
      </c>
    </row>
    <row r="351" spans="1:10" x14ac:dyDescent="0.3">
      <c r="A351" s="62">
        <v>45279</v>
      </c>
      <c r="B351" s="63" t="s">
        <v>1237</v>
      </c>
      <c r="C351" s="64">
        <v>123457138</v>
      </c>
      <c r="D351" s="70" t="s">
        <v>399</v>
      </c>
      <c r="E351" s="53" t="s">
        <v>868</v>
      </c>
      <c r="F351" s="66">
        <v>225</v>
      </c>
      <c r="G351" s="67">
        <v>31</v>
      </c>
      <c r="H351" s="67">
        <v>6975</v>
      </c>
      <c r="I351" s="68">
        <v>123456789</v>
      </c>
      <c r="J351" s="69" t="s">
        <v>889</v>
      </c>
    </row>
    <row r="352" spans="1:10" x14ac:dyDescent="0.3">
      <c r="A352" s="62">
        <v>45280</v>
      </c>
      <c r="B352" s="63" t="s">
        <v>1238</v>
      </c>
      <c r="C352" s="64">
        <v>123457139</v>
      </c>
      <c r="D352" s="65" t="s">
        <v>400</v>
      </c>
      <c r="E352" s="53" t="s">
        <v>868</v>
      </c>
      <c r="F352" s="66">
        <v>260</v>
      </c>
      <c r="G352" s="67">
        <v>30</v>
      </c>
      <c r="H352" s="67">
        <v>7800</v>
      </c>
      <c r="I352" s="68">
        <v>123456789</v>
      </c>
      <c r="J352" s="69" t="s">
        <v>889</v>
      </c>
    </row>
    <row r="353" spans="1:10" x14ac:dyDescent="0.3">
      <c r="A353" s="62">
        <v>45281</v>
      </c>
      <c r="B353" s="63" t="s">
        <v>1239</v>
      </c>
      <c r="C353" s="64">
        <v>123457140</v>
      </c>
      <c r="D353" s="70" t="s">
        <v>401</v>
      </c>
      <c r="E353" s="53" t="s">
        <v>868</v>
      </c>
      <c r="F353" s="66">
        <v>224</v>
      </c>
      <c r="G353" s="67">
        <v>29</v>
      </c>
      <c r="H353" s="67">
        <v>6496</v>
      </c>
      <c r="I353" s="68">
        <v>123456789</v>
      </c>
      <c r="J353" s="69" t="s">
        <v>889</v>
      </c>
    </row>
    <row r="354" spans="1:10" x14ac:dyDescent="0.3">
      <c r="A354" s="62">
        <v>45282</v>
      </c>
      <c r="B354" s="63" t="s">
        <v>1240</v>
      </c>
      <c r="C354" s="64">
        <v>123457141</v>
      </c>
      <c r="D354" s="65" t="s">
        <v>402</v>
      </c>
      <c r="E354" s="53" t="s">
        <v>869</v>
      </c>
      <c r="F354" s="66">
        <v>224</v>
      </c>
      <c r="G354" s="67">
        <v>24</v>
      </c>
      <c r="H354" s="67">
        <v>5376</v>
      </c>
      <c r="I354" s="68">
        <v>123456789</v>
      </c>
      <c r="J354" s="69" t="s">
        <v>887</v>
      </c>
    </row>
    <row r="355" spans="1:10" x14ac:dyDescent="0.3">
      <c r="A355" s="62">
        <v>45283</v>
      </c>
      <c r="B355" s="63" t="s">
        <v>1241</v>
      </c>
      <c r="C355" s="64">
        <v>123457142</v>
      </c>
      <c r="D355" s="70" t="s">
        <v>403</v>
      </c>
      <c r="E355" s="111" t="s">
        <v>868</v>
      </c>
      <c r="F355" s="66">
        <v>205</v>
      </c>
      <c r="G355" s="67">
        <v>26</v>
      </c>
      <c r="H355" s="67">
        <v>5330</v>
      </c>
      <c r="I355" s="68">
        <v>123456789</v>
      </c>
      <c r="J355" s="69" t="s">
        <v>887</v>
      </c>
    </row>
    <row r="356" spans="1:10" x14ac:dyDescent="0.3">
      <c r="A356" s="62">
        <v>45284</v>
      </c>
      <c r="B356" s="63" t="s">
        <v>1242</v>
      </c>
      <c r="C356" s="64">
        <v>123457143</v>
      </c>
      <c r="D356" s="65" t="s">
        <v>404</v>
      </c>
      <c r="E356" s="111" t="s">
        <v>868</v>
      </c>
      <c r="F356" s="66">
        <v>278</v>
      </c>
      <c r="G356" s="67">
        <v>21</v>
      </c>
      <c r="H356" s="67">
        <v>5838</v>
      </c>
      <c r="I356" s="68">
        <v>123456789</v>
      </c>
      <c r="J356" s="69" t="s">
        <v>887</v>
      </c>
    </row>
    <row r="357" spans="1:10" x14ac:dyDescent="0.3">
      <c r="A357" s="62">
        <v>45285</v>
      </c>
      <c r="B357" s="63" t="s">
        <v>1243</v>
      </c>
      <c r="C357" s="64">
        <v>123457144</v>
      </c>
      <c r="D357" s="70" t="s">
        <v>405</v>
      </c>
      <c r="E357" s="111" t="s">
        <v>869</v>
      </c>
      <c r="F357" s="66">
        <v>261</v>
      </c>
      <c r="G357" s="67">
        <v>25</v>
      </c>
      <c r="H357" s="67">
        <v>6525</v>
      </c>
      <c r="I357" s="68">
        <v>123456789</v>
      </c>
      <c r="J357" s="69" t="s">
        <v>889</v>
      </c>
    </row>
    <row r="358" spans="1:10" x14ac:dyDescent="0.3">
      <c r="A358" s="62">
        <v>45286</v>
      </c>
      <c r="B358" s="63" t="s">
        <v>1244</v>
      </c>
      <c r="C358" s="64">
        <v>123457145</v>
      </c>
      <c r="D358" s="65" t="s">
        <v>406</v>
      </c>
      <c r="E358" s="53" t="s">
        <v>869</v>
      </c>
      <c r="F358" s="66">
        <v>235</v>
      </c>
      <c r="G358" s="67">
        <v>27</v>
      </c>
      <c r="H358" s="67">
        <v>6345</v>
      </c>
      <c r="I358" s="68">
        <v>123456789</v>
      </c>
      <c r="J358" s="69" t="s">
        <v>887</v>
      </c>
    </row>
    <row r="359" spans="1:10" x14ac:dyDescent="0.3">
      <c r="A359" s="62">
        <v>45287</v>
      </c>
      <c r="B359" s="63" t="s">
        <v>1245</v>
      </c>
      <c r="C359" s="64">
        <v>123457146</v>
      </c>
      <c r="D359" s="70" t="s">
        <v>407</v>
      </c>
      <c r="E359" s="111" t="s">
        <v>868</v>
      </c>
      <c r="F359" s="66">
        <v>300</v>
      </c>
      <c r="G359" s="67">
        <v>26</v>
      </c>
      <c r="H359" s="67">
        <v>7800</v>
      </c>
      <c r="I359" s="68">
        <v>123456789</v>
      </c>
      <c r="J359" s="69" t="s">
        <v>887</v>
      </c>
    </row>
    <row r="360" spans="1:10" x14ac:dyDescent="0.3">
      <c r="A360" s="62">
        <v>45288</v>
      </c>
      <c r="B360" s="63" t="s">
        <v>1246</v>
      </c>
      <c r="C360" s="64">
        <v>123457147</v>
      </c>
      <c r="D360" s="65" t="s">
        <v>408</v>
      </c>
      <c r="E360" s="111" t="s">
        <v>868</v>
      </c>
      <c r="F360" s="66">
        <v>208</v>
      </c>
      <c r="G360" s="67">
        <v>22</v>
      </c>
      <c r="H360" s="67">
        <v>4576</v>
      </c>
      <c r="I360" s="68">
        <v>123456789</v>
      </c>
      <c r="J360" s="69" t="s">
        <v>887</v>
      </c>
    </row>
    <row r="361" spans="1:10" x14ac:dyDescent="0.3">
      <c r="A361" s="62">
        <v>45289</v>
      </c>
      <c r="B361" s="63" t="s">
        <v>1247</v>
      </c>
      <c r="C361" s="64">
        <v>123457148</v>
      </c>
      <c r="D361" s="70" t="s">
        <v>409</v>
      </c>
      <c r="E361" s="111" t="s">
        <v>868</v>
      </c>
      <c r="F361" s="66">
        <v>295</v>
      </c>
      <c r="G361" s="67">
        <v>30</v>
      </c>
      <c r="H361" s="67">
        <v>8850</v>
      </c>
      <c r="I361" s="68">
        <v>123456789</v>
      </c>
      <c r="J361" s="69" t="s">
        <v>887</v>
      </c>
    </row>
    <row r="362" spans="1:10" x14ac:dyDescent="0.3">
      <c r="A362" s="62">
        <v>45290</v>
      </c>
      <c r="B362" s="63" t="s">
        <v>1248</v>
      </c>
      <c r="C362" s="64">
        <v>123457149</v>
      </c>
      <c r="D362" s="65" t="s">
        <v>410</v>
      </c>
      <c r="E362" s="111" t="s">
        <v>868</v>
      </c>
      <c r="F362" s="66">
        <v>203</v>
      </c>
      <c r="G362" s="67">
        <v>29</v>
      </c>
      <c r="H362" s="67">
        <v>5887</v>
      </c>
      <c r="I362" s="68">
        <v>123456789</v>
      </c>
      <c r="J362" s="69" t="s">
        <v>887</v>
      </c>
    </row>
    <row r="363" spans="1:10" x14ac:dyDescent="0.3">
      <c r="A363" s="62">
        <v>45291</v>
      </c>
      <c r="B363" s="63" t="s">
        <v>1249</v>
      </c>
      <c r="C363" s="64">
        <v>123457150</v>
      </c>
      <c r="D363" s="70" t="s">
        <v>411</v>
      </c>
      <c r="E363" s="111" t="s">
        <v>868</v>
      </c>
      <c r="F363" s="66">
        <v>203</v>
      </c>
      <c r="G363" s="67">
        <v>28</v>
      </c>
      <c r="H363" s="67">
        <v>5684</v>
      </c>
      <c r="I363" s="68">
        <v>123456789</v>
      </c>
      <c r="J363" s="69" t="s">
        <v>889</v>
      </c>
    </row>
    <row r="364" spans="1:10" x14ac:dyDescent="0.3">
      <c r="A364" s="62">
        <v>45292</v>
      </c>
      <c r="B364" s="63" t="s">
        <v>1250</v>
      </c>
      <c r="C364" s="64">
        <v>123457151</v>
      </c>
      <c r="D364" s="65" t="s">
        <v>412</v>
      </c>
      <c r="E364" s="53" t="s">
        <v>869</v>
      </c>
      <c r="F364" s="66">
        <v>914</v>
      </c>
      <c r="G364" s="67">
        <v>21</v>
      </c>
      <c r="H364" s="67">
        <v>19194</v>
      </c>
      <c r="I364" s="68">
        <v>123456789</v>
      </c>
      <c r="J364" s="69" t="s">
        <v>887</v>
      </c>
    </row>
    <row r="365" spans="1:10" x14ac:dyDescent="0.3">
      <c r="A365" s="62">
        <v>45293</v>
      </c>
      <c r="B365" s="63" t="s">
        <v>1251</v>
      </c>
      <c r="C365" s="64">
        <v>123457152</v>
      </c>
      <c r="D365" s="70" t="s">
        <v>413</v>
      </c>
      <c r="E365" s="111" t="s">
        <v>868</v>
      </c>
      <c r="F365" s="66">
        <v>592</v>
      </c>
      <c r="G365" s="67">
        <v>27</v>
      </c>
      <c r="H365" s="67">
        <v>15984</v>
      </c>
      <c r="I365" s="68">
        <v>123456789</v>
      </c>
      <c r="J365" s="69" t="s">
        <v>887</v>
      </c>
    </row>
    <row r="366" spans="1:10" x14ac:dyDescent="0.3">
      <c r="A366" s="62">
        <v>45294</v>
      </c>
      <c r="B366" s="63" t="s">
        <v>1252</v>
      </c>
      <c r="C366" s="64">
        <v>123457153</v>
      </c>
      <c r="D366" s="65" t="s">
        <v>414</v>
      </c>
      <c r="E366" s="111" t="s">
        <v>868</v>
      </c>
      <c r="F366" s="66">
        <v>913</v>
      </c>
      <c r="G366" s="67">
        <v>28</v>
      </c>
      <c r="H366" s="67">
        <v>25564</v>
      </c>
      <c r="I366" s="68">
        <v>123456789</v>
      </c>
      <c r="J366" s="69" t="s">
        <v>887</v>
      </c>
    </row>
    <row r="367" spans="1:10" x14ac:dyDescent="0.3">
      <c r="A367" s="62">
        <v>45295</v>
      </c>
      <c r="B367" s="63" t="s">
        <v>1253</v>
      </c>
      <c r="C367" s="64">
        <v>123457154</v>
      </c>
      <c r="D367" s="70" t="s">
        <v>415</v>
      </c>
      <c r="E367" s="111" t="s">
        <v>868</v>
      </c>
      <c r="F367" s="66">
        <v>682</v>
      </c>
      <c r="G367" s="67">
        <v>29</v>
      </c>
      <c r="H367" s="67">
        <v>19778</v>
      </c>
      <c r="I367" s="68">
        <v>123456789</v>
      </c>
      <c r="J367" s="69" t="s">
        <v>887</v>
      </c>
    </row>
    <row r="368" spans="1:10" x14ac:dyDescent="0.3">
      <c r="A368" s="62">
        <v>45296</v>
      </c>
      <c r="B368" s="63" t="s">
        <v>1254</v>
      </c>
      <c r="C368" s="64">
        <v>123457155</v>
      </c>
      <c r="D368" s="65" t="s">
        <v>416</v>
      </c>
      <c r="E368" s="53" t="s">
        <v>869</v>
      </c>
      <c r="F368" s="66">
        <v>956</v>
      </c>
      <c r="G368" s="67">
        <v>28</v>
      </c>
      <c r="H368" s="67">
        <v>26768</v>
      </c>
      <c r="I368" s="68">
        <v>123456789</v>
      </c>
      <c r="J368" s="69" t="s">
        <v>889</v>
      </c>
    </row>
    <row r="369" spans="1:10" x14ac:dyDescent="0.3">
      <c r="A369" s="62">
        <v>45297</v>
      </c>
      <c r="B369" s="63" t="s">
        <v>1255</v>
      </c>
      <c r="C369" s="64">
        <v>123457156</v>
      </c>
      <c r="D369" s="70" t="s">
        <v>417</v>
      </c>
      <c r="E369" s="111" t="s">
        <v>868</v>
      </c>
      <c r="F369" s="66">
        <v>540</v>
      </c>
      <c r="G369" s="67">
        <v>30</v>
      </c>
      <c r="H369" s="67">
        <v>16200</v>
      </c>
      <c r="I369" s="68">
        <v>123456789</v>
      </c>
      <c r="J369" s="69" t="s">
        <v>889</v>
      </c>
    </row>
    <row r="370" spans="1:10" x14ac:dyDescent="0.3">
      <c r="A370" s="62">
        <v>45298</v>
      </c>
      <c r="B370" s="63" t="s">
        <v>1256</v>
      </c>
      <c r="C370" s="64">
        <v>123457157</v>
      </c>
      <c r="D370" s="65" t="s">
        <v>418</v>
      </c>
      <c r="E370" s="53" t="s">
        <v>869</v>
      </c>
      <c r="F370" s="66">
        <v>852</v>
      </c>
      <c r="G370" s="67">
        <v>21</v>
      </c>
      <c r="H370" s="67">
        <v>17892</v>
      </c>
      <c r="I370" s="68">
        <v>123456789</v>
      </c>
      <c r="J370" s="69" t="s">
        <v>889</v>
      </c>
    </row>
    <row r="371" spans="1:10" x14ac:dyDescent="0.3">
      <c r="A371" s="62">
        <v>45299</v>
      </c>
      <c r="B371" s="63" t="s">
        <v>1257</v>
      </c>
      <c r="C371" s="64">
        <v>123457158</v>
      </c>
      <c r="D371" s="70" t="s">
        <v>419</v>
      </c>
      <c r="E371" s="111" t="s">
        <v>869</v>
      </c>
      <c r="F371" s="66">
        <v>673</v>
      </c>
      <c r="G371" s="67">
        <v>21</v>
      </c>
      <c r="H371" s="67">
        <v>14133</v>
      </c>
      <c r="I371" s="68">
        <v>123456789</v>
      </c>
      <c r="J371" s="69" t="s">
        <v>887</v>
      </c>
    </row>
    <row r="372" spans="1:10" x14ac:dyDescent="0.3">
      <c r="A372" s="62">
        <v>45300</v>
      </c>
      <c r="B372" s="63" t="s">
        <v>1258</v>
      </c>
      <c r="C372" s="64">
        <v>123457159</v>
      </c>
      <c r="D372" s="65" t="s">
        <v>420</v>
      </c>
      <c r="E372" s="53" t="s">
        <v>869</v>
      </c>
      <c r="F372" s="66">
        <v>807</v>
      </c>
      <c r="G372" s="67">
        <v>25</v>
      </c>
      <c r="H372" s="67">
        <v>20175</v>
      </c>
      <c r="I372" s="68">
        <v>123456789</v>
      </c>
      <c r="J372" s="69" t="s">
        <v>887</v>
      </c>
    </row>
    <row r="373" spans="1:10" x14ac:dyDescent="0.3">
      <c r="A373" s="62">
        <v>45301</v>
      </c>
      <c r="B373" s="63" t="s">
        <v>1259</v>
      </c>
      <c r="C373" s="64">
        <v>123457160</v>
      </c>
      <c r="D373" s="70" t="s">
        <v>421</v>
      </c>
      <c r="E373" s="111" t="s">
        <v>868</v>
      </c>
      <c r="F373" s="66">
        <v>643</v>
      </c>
      <c r="G373" s="67">
        <v>22</v>
      </c>
      <c r="H373" s="67">
        <v>14146</v>
      </c>
      <c r="I373" s="68">
        <v>123456789</v>
      </c>
      <c r="J373" s="69" t="s">
        <v>887</v>
      </c>
    </row>
    <row r="374" spans="1:10" x14ac:dyDescent="0.3">
      <c r="A374" s="62">
        <v>45302</v>
      </c>
      <c r="B374" s="63" t="s">
        <v>1260</v>
      </c>
      <c r="C374" s="64">
        <v>123457161</v>
      </c>
      <c r="D374" s="65" t="s">
        <v>422</v>
      </c>
      <c r="E374" s="53" t="s">
        <v>868</v>
      </c>
      <c r="F374" s="66">
        <v>943</v>
      </c>
      <c r="G374" s="67">
        <v>28</v>
      </c>
      <c r="H374" s="67">
        <v>26404</v>
      </c>
      <c r="I374" s="68">
        <v>123456789</v>
      </c>
      <c r="J374" s="69" t="s">
        <v>889</v>
      </c>
    </row>
    <row r="375" spans="1:10" x14ac:dyDescent="0.3">
      <c r="A375" s="62">
        <v>45303</v>
      </c>
      <c r="B375" s="63" t="s">
        <v>1261</v>
      </c>
      <c r="C375" s="64">
        <v>123457162</v>
      </c>
      <c r="D375" s="70" t="s">
        <v>423</v>
      </c>
      <c r="E375" s="111" t="s">
        <v>869</v>
      </c>
      <c r="F375" s="66">
        <v>864</v>
      </c>
      <c r="G375" s="67">
        <v>21</v>
      </c>
      <c r="H375" s="67">
        <v>18144</v>
      </c>
      <c r="I375" s="68">
        <v>123456789</v>
      </c>
      <c r="J375" s="69" t="s">
        <v>887</v>
      </c>
    </row>
    <row r="376" spans="1:10" x14ac:dyDescent="0.3">
      <c r="A376" s="62">
        <v>45304</v>
      </c>
      <c r="B376" s="63" t="s">
        <v>1262</v>
      </c>
      <c r="C376" s="64">
        <v>123457163</v>
      </c>
      <c r="D376" s="65" t="s">
        <v>424</v>
      </c>
      <c r="E376" s="53" t="s">
        <v>868</v>
      </c>
      <c r="F376" s="66">
        <v>590</v>
      </c>
      <c r="G376" s="67">
        <v>23</v>
      </c>
      <c r="H376" s="67">
        <v>13570</v>
      </c>
      <c r="I376" s="68">
        <v>123456789</v>
      </c>
      <c r="J376" s="69" t="s">
        <v>887</v>
      </c>
    </row>
    <row r="377" spans="1:10" x14ac:dyDescent="0.3">
      <c r="A377" s="62">
        <v>45305</v>
      </c>
      <c r="B377" s="63" t="s">
        <v>1263</v>
      </c>
      <c r="C377" s="64">
        <v>123457164</v>
      </c>
      <c r="D377" s="70" t="s">
        <v>425</v>
      </c>
      <c r="E377" s="111" t="s">
        <v>869</v>
      </c>
      <c r="F377" s="66">
        <v>522</v>
      </c>
      <c r="G377" s="67">
        <v>22</v>
      </c>
      <c r="H377" s="67">
        <v>11484</v>
      </c>
      <c r="I377" s="68">
        <v>123456789</v>
      </c>
      <c r="J377" s="69" t="s">
        <v>887</v>
      </c>
    </row>
    <row r="378" spans="1:10" x14ac:dyDescent="0.3">
      <c r="A378" s="62">
        <v>45306</v>
      </c>
      <c r="B378" s="63" t="s">
        <v>1264</v>
      </c>
      <c r="C378" s="64">
        <v>123457165</v>
      </c>
      <c r="D378" s="65" t="s">
        <v>426</v>
      </c>
      <c r="E378" s="53" t="s">
        <v>868</v>
      </c>
      <c r="F378" s="66">
        <v>663</v>
      </c>
      <c r="G378" s="67">
        <v>21</v>
      </c>
      <c r="H378" s="67">
        <v>13923</v>
      </c>
      <c r="I378" s="68">
        <v>123456789</v>
      </c>
      <c r="J378" s="69" t="s">
        <v>887</v>
      </c>
    </row>
    <row r="379" spans="1:10" x14ac:dyDescent="0.3">
      <c r="A379" s="62">
        <v>45307</v>
      </c>
      <c r="B379" s="63" t="s">
        <v>1265</v>
      </c>
      <c r="C379" s="64">
        <v>123457166</v>
      </c>
      <c r="D379" s="70" t="s">
        <v>427</v>
      </c>
      <c r="E379" s="111" t="s">
        <v>868</v>
      </c>
      <c r="F379" s="66">
        <v>509</v>
      </c>
      <c r="G379" s="67">
        <v>25</v>
      </c>
      <c r="H379" s="67">
        <v>12725</v>
      </c>
      <c r="I379" s="68">
        <v>123456789</v>
      </c>
      <c r="J379" s="69" t="s">
        <v>889</v>
      </c>
    </row>
    <row r="380" spans="1:10" x14ac:dyDescent="0.3">
      <c r="A380" s="62">
        <v>45308</v>
      </c>
      <c r="B380" s="63" t="s">
        <v>1266</v>
      </c>
      <c r="C380" s="64">
        <v>123457167</v>
      </c>
      <c r="D380" s="65" t="s">
        <v>428</v>
      </c>
      <c r="E380" s="53" t="s">
        <v>868</v>
      </c>
      <c r="F380" s="66">
        <v>698</v>
      </c>
      <c r="G380" s="67">
        <v>30</v>
      </c>
      <c r="H380" s="67">
        <v>20940</v>
      </c>
      <c r="I380" s="68">
        <v>123456789</v>
      </c>
      <c r="J380" s="69" t="s">
        <v>887</v>
      </c>
    </row>
    <row r="381" spans="1:10" x14ac:dyDescent="0.3">
      <c r="A381" s="62">
        <v>45309</v>
      </c>
      <c r="B381" s="63" t="s">
        <v>1267</v>
      </c>
      <c r="C381" s="64">
        <v>123457168</v>
      </c>
      <c r="D381" s="70" t="s">
        <v>429</v>
      </c>
      <c r="E381" s="111" t="s">
        <v>869</v>
      </c>
      <c r="F381" s="66">
        <v>874</v>
      </c>
      <c r="G381" s="67">
        <v>25</v>
      </c>
      <c r="H381" s="67">
        <v>21850</v>
      </c>
      <c r="I381" s="68">
        <v>123456789</v>
      </c>
      <c r="J381" s="69" t="s">
        <v>887</v>
      </c>
    </row>
    <row r="382" spans="1:10" x14ac:dyDescent="0.3">
      <c r="A382" s="62">
        <v>45310</v>
      </c>
      <c r="B382" s="63" t="s">
        <v>1268</v>
      </c>
      <c r="C382" s="64">
        <v>123457169</v>
      </c>
      <c r="D382" s="65" t="s">
        <v>430</v>
      </c>
      <c r="E382" s="53" t="s">
        <v>868</v>
      </c>
      <c r="F382" s="66">
        <v>861</v>
      </c>
      <c r="G382" s="67">
        <v>26</v>
      </c>
      <c r="H382" s="67">
        <v>22386</v>
      </c>
      <c r="I382" s="68">
        <v>123456789</v>
      </c>
      <c r="J382" s="69" t="s">
        <v>887</v>
      </c>
    </row>
    <row r="383" spans="1:10" x14ac:dyDescent="0.3">
      <c r="A383" s="62">
        <v>45311</v>
      </c>
      <c r="B383" s="63" t="s">
        <v>1269</v>
      </c>
      <c r="C383" s="64">
        <v>123457170</v>
      </c>
      <c r="D383" s="70" t="s">
        <v>431</v>
      </c>
      <c r="E383" s="111" t="s">
        <v>868</v>
      </c>
      <c r="F383" s="66">
        <v>834</v>
      </c>
      <c r="G383" s="67">
        <v>25</v>
      </c>
      <c r="H383" s="67">
        <v>20850</v>
      </c>
      <c r="I383" s="68">
        <v>123456789</v>
      </c>
      <c r="J383" s="69" t="s">
        <v>887</v>
      </c>
    </row>
    <row r="384" spans="1:10" x14ac:dyDescent="0.3">
      <c r="A384" s="62">
        <v>45312</v>
      </c>
      <c r="B384" s="63" t="s">
        <v>1270</v>
      </c>
      <c r="C384" s="64">
        <v>123457171</v>
      </c>
      <c r="D384" s="65" t="s">
        <v>432</v>
      </c>
      <c r="E384" s="53" t="s">
        <v>869</v>
      </c>
      <c r="F384" s="66">
        <v>835</v>
      </c>
      <c r="G384" s="67">
        <v>26</v>
      </c>
      <c r="H384" s="67">
        <v>21710</v>
      </c>
      <c r="I384" s="68">
        <v>123456789</v>
      </c>
      <c r="J384" s="69" t="s">
        <v>887</v>
      </c>
    </row>
    <row r="385" spans="1:10" x14ac:dyDescent="0.3">
      <c r="A385" s="62">
        <v>45313</v>
      </c>
      <c r="B385" s="63" t="s">
        <v>1271</v>
      </c>
      <c r="C385" s="64">
        <v>123457172</v>
      </c>
      <c r="D385" s="70" t="s">
        <v>433</v>
      </c>
      <c r="E385" s="111" t="s">
        <v>869</v>
      </c>
      <c r="F385" s="66">
        <v>843</v>
      </c>
      <c r="G385" s="67">
        <v>25</v>
      </c>
      <c r="H385" s="67">
        <v>21075</v>
      </c>
      <c r="I385" s="68">
        <v>123456789</v>
      </c>
      <c r="J385" s="69" t="s">
        <v>887</v>
      </c>
    </row>
    <row r="386" spans="1:10" x14ac:dyDescent="0.3">
      <c r="A386" s="62">
        <v>45314</v>
      </c>
      <c r="B386" s="63" t="s">
        <v>1272</v>
      </c>
      <c r="C386" s="64">
        <v>123457173</v>
      </c>
      <c r="D386" s="65" t="s">
        <v>434</v>
      </c>
      <c r="E386" s="53" t="s">
        <v>868</v>
      </c>
      <c r="F386" s="66">
        <v>938</v>
      </c>
      <c r="G386" s="67">
        <v>28</v>
      </c>
      <c r="H386" s="67">
        <v>26264</v>
      </c>
      <c r="I386" s="68">
        <v>123456789</v>
      </c>
      <c r="J386" s="69" t="s">
        <v>887</v>
      </c>
    </row>
    <row r="387" spans="1:10" x14ac:dyDescent="0.3">
      <c r="A387" s="62">
        <v>45315</v>
      </c>
      <c r="B387" s="63" t="s">
        <v>1273</v>
      </c>
      <c r="C387" s="64">
        <v>123457174</v>
      </c>
      <c r="D387" s="70" t="s">
        <v>435</v>
      </c>
      <c r="E387" s="111" t="s">
        <v>869</v>
      </c>
      <c r="F387" s="66">
        <v>507</v>
      </c>
      <c r="G387" s="67">
        <v>27</v>
      </c>
      <c r="H387" s="67">
        <v>13689</v>
      </c>
      <c r="I387" s="68">
        <v>123456789</v>
      </c>
      <c r="J387" s="69" t="s">
        <v>889</v>
      </c>
    </row>
    <row r="388" spans="1:10" x14ac:dyDescent="0.3">
      <c r="A388" s="62">
        <v>45316</v>
      </c>
      <c r="B388" s="63" t="s">
        <v>1274</v>
      </c>
      <c r="C388" s="64">
        <v>123457175</v>
      </c>
      <c r="D388" s="65" t="s">
        <v>436</v>
      </c>
      <c r="E388" s="53" t="s">
        <v>868</v>
      </c>
      <c r="F388" s="66">
        <v>726</v>
      </c>
      <c r="G388" s="67">
        <v>21</v>
      </c>
      <c r="H388" s="67">
        <v>15246</v>
      </c>
      <c r="I388" s="68">
        <v>123456789</v>
      </c>
      <c r="J388" s="69" t="s">
        <v>887</v>
      </c>
    </row>
    <row r="389" spans="1:10" x14ac:dyDescent="0.3">
      <c r="A389" s="62">
        <v>45317</v>
      </c>
      <c r="B389" s="63" t="s">
        <v>1275</v>
      </c>
      <c r="C389" s="64">
        <v>123457176</v>
      </c>
      <c r="D389" s="70" t="s">
        <v>437</v>
      </c>
      <c r="E389" s="111" t="s">
        <v>868</v>
      </c>
      <c r="F389" s="66">
        <v>669</v>
      </c>
      <c r="G389" s="67">
        <v>27</v>
      </c>
      <c r="H389" s="67">
        <v>18063</v>
      </c>
      <c r="I389" s="68">
        <v>123456789</v>
      </c>
      <c r="J389" s="69" t="s">
        <v>887</v>
      </c>
    </row>
    <row r="390" spans="1:10" x14ac:dyDescent="0.3">
      <c r="A390" s="62">
        <v>45318</v>
      </c>
      <c r="B390" s="63" t="s">
        <v>1276</v>
      </c>
      <c r="C390" s="64">
        <v>123457177</v>
      </c>
      <c r="D390" s="65" t="s">
        <v>438</v>
      </c>
      <c r="E390" s="53" t="s">
        <v>868</v>
      </c>
      <c r="F390" s="66">
        <v>755</v>
      </c>
      <c r="G390" s="67">
        <v>28</v>
      </c>
      <c r="H390" s="67">
        <v>21140</v>
      </c>
      <c r="I390" s="68">
        <v>123456789</v>
      </c>
      <c r="J390" s="69" t="s">
        <v>887</v>
      </c>
    </row>
    <row r="391" spans="1:10" x14ac:dyDescent="0.3">
      <c r="A391" s="62">
        <v>45319</v>
      </c>
      <c r="B391" s="63" t="s">
        <v>1277</v>
      </c>
      <c r="C391" s="64">
        <v>123457178</v>
      </c>
      <c r="D391" s="70" t="s">
        <v>439</v>
      </c>
      <c r="E391" s="111" t="s">
        <v>868</v>
      </c>
      <c r="F391" s="66">
        <v>892</v>
      </c>
      <c r="G391" s="67">
        <v>22</v>
      </c>
      <c r="H391" s="67">
        <v>19624</v>
      </c>
      <c r="I391" s="68">
        <v>123456789</v>
      </c>
      <c r="J391" s="69" t="s">
        <v>887</v>
      </c>
    </row>
    <row r="392" spans="1:10" x14ac:dyDescent="0.3">
      <c r="A392" s="62">
        <v>45320</v>
      </c>
      <c r="B392" s="63" t="s">
        <v>1278</v>
      </c>
      <c r="C392" s="64">
        <v>123457179</v>
      </c>
      <c r="D392" s="65" t="s">
        <v>440</v>
      </c>
      <c r="E392" s="53" t="s">
        <v>869</v>
      </c>
      <c r="F392" s="66">
        <v>889</v>
      </c>
      <c r="G392" s="67">
        <v>31</v>
      </c>
      <c r="H392" s="67">
        <v>27559</v>
      </c>
      <c r="I392" s="68">
        <v>123456789</v>
      </c>
      <c r="J392" s="69" t="s">
        <v>887</v>
      </c>
    </row>
    <row r="393" spans="1:10" x14ac:dyDescent="0.3">
      <c r="A393" s="62">
        <v>45321</v>
      </c>
      <c r="B393" s="63" t="s">
        <v>1279</v>
      </c>
      <c r="C393" s="64">
        <v>123457180</v>
      </c>
      <c r="D393" s="70" t="s">
        <v>441</v>
      </c>
      <c r="E393" s="111" t="s">
        <v>868</v>
      </c>
      <c r="F393" s="66">
        <v>552</v>
      </c>
      <c r="G393" s="67">
        <v>24</v>
      </c>
      <c r="H393" s="67">
        <v>13248</v>
      </c>
      <c r="I393" s="68">
        <v>123456789</v>
      </c>
      <c r="J393" s="69" t="s">
        <v>887</v>
      </c>
    </row>
    <row r="394" spans="1:10" x14ac:dyDescent="0.3">
      <c r="A394" s="62">
        <v>45322</v>
      </c>
      <c r="B394" s="63" t="s">
        <v>1280</v>
      </c>
      <c r="C394" s="64">
        <v>123457181</v>
      </c>
      <c r="D394" s="65" t="s">
        <v>442</v>
      </c>
      <c r="E394" s="53" t="s">
        <v>869</v>
      </c>
      <c r="F394" s="66">
        <v>943</v>
      </c>
      <c r="G394" s="67">
        <v>28</v>
      </c>
      <c r="H394" s="67">
        <v>26404</v>
      </c>
      <c r="I394" s="68">
        <v>123456789</v>
      </c>
      <c r="J394" s="69" t="s">
        <v>887</v>
      </c>
    </row>
    <row r="395" spans="1:10" x14ac:dyDescent="0.3">
      <c r="A395" s="62">
        <v>45323</v>
      </c>
      <c r="B395" s="63" t="s">
        <v>1281</v>
      </c>
      <c r="C395" s="64">
        <v>123457182</v>
      </c>
      <c r="D395" s="70" t="s">
        <v>443</v>
      </c>
      <c r="E395" s="111" t="s">
        <v>869</v>
      </c>
      <c r="F395" s="66">
        <v>703</v>
      </c>
      <c r="G395" s="67">
        <v>29</v>
      </c>
      <c r="H395" s="67">
        <v>20387</v>
      </c>
      <c r="I395" s="68">
        <v>123456789</v>
      </c>
      <c r="J395" s="69" t="s">
        <v>887</v>
      </c>
    </row>
    <row r="396" spans="1:10" x14ac:dyDescent="0.3">
      <c r="A396" s="62">
        <v>45324</v>
      </c>
      <c r="B396" s="63" t="s">
        <v>1282</v>
      </c>
      <c r="C396" s="64">
        <v>123457183</v>
      </c>
      <c r="D396" s="65" t="s">
        <v>444</v>
      </c>
      <c r="E396" s="53" t="s">
        <v>869</v>
      </c>
      <c r="F396" s="66">
        <v>661</v>
      </c>
      <c r="G396" s="67">
        <v>28</v>
      </c>
      <c r="H396" s="67">
        <v>18508</v>
      </c>
      <c r="I396" s="68">
        <v>123456789</v>
      </c>
      <c r="J396" s="69" t="s">
        <v>887</v>
      </c>
    </row>
    <row r="397" spans="1:10" x14ac:dyDescent="0.3">
      <c r="A397" s="62">
        <v>45325</v>
      </c>
      <c r="B397" s="63" t="s">
        <v>1283</v>
      </c>
      <c r="C397" s="64">
        <v>123457184</v>
      </c>
      <c r="D397" s="70" t="s">
        <v>445</v>
      </c>
      <c r="E397" s="111" t="s">
        <v>868</v>
      </c>
      <c r="F397" s="66">
        <v>624</v>
      </c>
      <c r="G397" s="67">
        <v>23</v>
      </c>
      <c r="H397" s="67">
        <v>14352</v>
      </c>
      <c r="I397" s="68">
        <v>123456789</v>
      </c>
      <c r="J397" s="69" t="s">
        <v>889</v>
      </c>
    </row>
    <row r="398" spans="1:10" x14ac:dyDescent="0.3">
      <c r="A398" s="62">
        <v>45326</v>
      </c>
      <c r="B398" s="63" t="s">
        <v>1284</v>
      </c>
      <c r="C398" s="64">
        <v>123457185</v>
      </c>
      <c r="D398" s="65" t="s">
        <v>446</v>
      </c>
      <c r="E398" s="111" t="s">
        <v>868</v>
      </c>
      <c r="F398" s="66">
        <v>624</v>
      </c>
      <c r="G398" s="67">
        <v>30</v>
      </c>
      <c r="H398" s="67">
        <v>18720</v>
      </c>
      <c r="I398" s="68">
        <v>123456789</v>
      </c>
      <c r="J398" s="69" t="s">
        <v>889</v>
      </c>
    </row>
    <row r="399" spans="1:10" x14ac:dyDescent="0.3">
      <c r="A399" s="62">
        <v>45327</v>
      </c>
      <c r="B399" s="63" t="s">
        <v>1285</v>
      </c>
      <c r="C399" s="64">
        <v>123457186</v>
      </c>
      <c r="D399" s="70" t="s">
        <v>447</v>
      </c>
      <c r="E399" s="111" t="s">
        <v>868</v>
      </c>
      <c r="F399" s="66">
        <v>931</v>
      </c>
      <c r="G399" s="67">
        <v>28</v>
      </c>
      <c r="H399" s="67">
        <v>26068</v>
      </c>
      <c r="I399" s="68">
        <v>123456789</v>
      </c>
      <c r="J399" s="69" t="s">
        <v>889</v>
      </c>
    </row>
    <row r="400" spans="1:10" x14ac:dyDescent="0.3">
      <c r="A400" s="62">
        <v>45328</v>
      </c>
      <c r="B400" s="63" t="s">
        <v>1286</v>
      </c>
      <c r="C400" s="64">
        <v>123457187</v>
      </c>
      <c r="D400" s="65" t="s">
        <v>448</v>
      </c>
      <c r="E400" s="111" t="s">
        <v>868</v>
      </c>
      <c r="F400" s="66">
        <v>624</v>
      </c>
      <c r="G400" s="67">
        <v>24</v>
      </c>
      <c r="H400" s="67">
        <v>14976</v>
      </c>
      <c r="I400" s="68">
        <v>123456789</v>
      </c>
      <c r="J400" s="69" t="s">
        <v>889</v>
      </c>
    </row>
    <row r="401" spans="1:10" x14ac:dyDescent="0.3">
      <c r="A401" s="62">
        <v>45329</v>
      </c>
      <c r="B401" s="63" t="s">
        <v>1287</v>
      </c>
      <c r="C401" s="64">
        <v>123457188</v>
      </c>
      <c r="D401" s="70" t="s">
        <v>449</v>
      </c>
      <c r="E401" s="111" t="s">
        <v>868</v>
      </c>
      <c r="F401" s="66">
        <v>607</v>
      </c>
      <c r="G401" s="67">
        <v>31</v>
      </c>
      <c r="H401" s="67">
        <v>18817</v>
      </c>
      <c r="I401" s="68">
        <v>123456789</v>
      </c>
      <c r="J401" s="69" t="s">
        <v>889</v>
      </c>
    </row>
    <row r="402" spans="1:10" x14ac:dyDescent="0.3">
      <c r="A402" s="62">
        <v>45330</v>
      </c>
      <c r="B402" s="63" t="s">
        <v>1288</v>
      </c>
      <c r="C402" s="64">
        <v>123457189</v>
      </c>
      <c r="D402" s="65" t="s">
        <v>450</v>
      </c>
      <c r="E402" s="111" t="s">
        <v>868</v>
      </c>
      <c r="F402" s="66">
        <v>978</v>
      </c>
      <c r="G402" s="67">
        <v>25</v>
      </c>
      <c r="H402" s="67">
        <v>24450</v>
      </c>
      <c r="I402" s="68">
        <v>123456789</v>
      </c>
      <c r="J402" s="69" t="s">
        <v>887</v>
      </c>
    </row>
    <row r="403" spans="1:10" x14ac:dyDescent="0.3">
      <c r="A403" s="62">
        <v>45331</v>
      </c>
      <c r="B403" s="63" t="s">
        <v>1289</v>
      </c>
      <c r="C403" s="64">
        <v>123457190</v>
      </c>
      <c r="D403" s="70" t="s">
        <v>451</v>
      </c>
      <c r="E403" s="111" t="s">
        <v>868</v>
      </c>
      <c r="F403" s="66">
        <v>767</v>
      </c>
      <c r="G403" s="67">
        <v>30</v>
      </c>
      <c r="H403" s="67">
        <v>23010</v>
      </c>
      <c r="I403" s="68">
        <v>123456789</v>
      </c>
      <c r="J403" s="69" t="s">
        <v>887</v>
      </c>
    </row>
    <row r="404" spans="1:10" x14ac:dyDescent="0.3">
      <c r="A404" s="62">
        <v>45332</v>
      </c>
      <c r="B404" s="63" t="s">
        <v>1290</v>
      </c>
      <c r="C404" s="64">
        <v>123457191</v>
      </c>
      <c r="D404" s="65" t="s">
        <v>452</v>
      </c>
      <c r="E404" s="111" t="s">
        <v>868</v>
      </c>
      <c r="F404" s="66">
        <v>922</v>
      </c>
      <c r="G404" s="67">
        <v>29</v>
      </c>
      <c r="H404" s="67">
        <v>26738</v>
      </c>
      <c r="I404" s="68">
        <v>123456789</v>
      </c>
      <c r="J404" s="69" t="s">
        <v>887</v>
      </c>
    </row>
    <row r="405" spans="1:10" x14ac:dyDescent="0.3">
      <c r="A405" s="62">
        <v>45333</v>
      </c>
      <c r="B405" s="63" t="s">
        <v>1291</v>
      </c>
      <c r="C405" s="64">
        <v>123457192</v>
      </c>
      <c r="D405" s="70" t="s">
        <v>453</v>
      </c>
      <c r="E405" s="111" t="s">
        <v>869</v>
      </c>
      <c r="F405" s="66">
        <v>558</v>
      </c>
      <c r="G405" s="67">
        <v>28</v>
      </c>
      <c r="H405" s="67">
        <v>15624</v>
      </c>
      <c r="I405" s="68">
        <v>123456789</v>
      </c>
      <c r="J405" s="69" t="s">
        <v>887</v>
      </c>
    </row>
    <row r="406" spans="1:10" x14ac:dyDescent="0.3">
      <c r="A406" s="62">
        <v>45334</v>
      </c>
      <c r="B406" s="63" t="s">
        <v>1292</v>
      </c>
      <c r="C406" s="64">
        <v>123457193</v>
      </c>
      <c r="D406" s="65" t="s">
        <v>454</v>
      </c>
      <c r="E406" s="53" t="s">
        <v>869</v>
      </c>
      <c r="F406" s="66">
        <v>565</v>
      </c>
      <c r="G406" s="67">
        <v>24</v>
      </c>
      <c r="H406" s="67">
        <v>13560</v>
      </c>
      <c r="I406" s="68">
        <v>123456789</v>
      </c>
      <c r="J406" s="69" t="s">
        <v>887</v>
      </c>
    </row>
    <row r="407" spans="1:10" x14ac:dyDescent="0.3">
      <c r="A407" s="62">
        <v>45335</v>
      </c>
      <c r="B407" s="63" t="s">
        <v>1293</v>
      </c>
      <c r="C407" s="64">
        <v>123457194</v>
      </c>
      <c r="D407" s="70" t="s">
        <v>455</v>
      </c>
      <c r="E407" s="111" t="s">
        <v>868</v>
      </c>
      <c r="F407" s="66">
        <v>792</v>
      </c>
      <c r="G407" s="67">
        <v>21</v>
      </c>
      <c r="H407" s="67">
        <v>16632</v>
      </c>
      <c r="I407" s="68">
        <v>123456789</v>
      </c>
      <c r="J407" s="69" t="s">
        <v>887</v>
      </c>
    </row>
    <row r="408" spans="1:10" x14ac:dyDescent="0.3">
      <c r="A408" s="62">
        <v>45336</v>
      </c>
      <c r="B408" s="63" t="s">
        <v>1294</v>
      </c>
      <c r="C408" s="64">
        <v>123457195</v>
      </c>
      <c r="D408" s="65" t="s">
        <v>456</v>
      </c>
      <c r="E408" s="111" t="s">
        <v>868</v>
      </c>
      <c r="F408" s="66">
        <v>836</v>
      </c>
      <c r="G408" s="67">
        <v>27</v>
      </c>
      <c r="H408" s="67">
        <v>22572</v>
      </c>
      <c r="I408" s="68">
        <v>123456789</v>
      </c>
      <c r="J408" s="69" t="s">
        <v>887</v>
      </c>
    </row>
    <row r="409" spans="1:10" x14ac:dyDescent="0.3">
      <c r="A409" s="62">
        <v>45337</v>
      </c>
      <c r="B409" s="63" t="s">
        <v>1295</v>
      </c>
      <c r="C409" s="64">
        <v>123457196</v>
      </c>
      <c r="D409" s="70" t="s">
        <v>457</v>
      </c>
      <c r="E409" s="111" t="s">
        <v>868</v>
      </c>
      <c r="F409" s="66">
        <v>926</v>
      </c>
      <c r="G409" s="67">
        <v>21</v>
      </c>
      <c r="H409" s="67">
        <v>19446</v>
      </c>
      <c r="I409" s="68">
        <v>123456789</v>
      </c>
      <c r="J409" s="69" t="s">
        <v>889</v>
      </c>
    </row>
    <row r="410" spans="1:10" x14ac:dyDescent="0.3">
      <c r="A410" s="62">
        <v>45338</v>
      </c>
      <c r="B410" s="63" t="s">
        <v>1296</v>
      </c>
      <c r="C410" s="64">
        <v>123457197</v>
      </c>
      <c r="D410" s="65" t="s">
        <v>458</v>
      </c>
      <c r="E410" s="111" t="s">
        <v>868</v>
      </c>
      <c r="F410" s="66">
        <v>957</v>
      </c>
      <c r="G410" s="67">
        <v>28</v>
      </c>
      <c r="H410" s="67">
        <v>26796</v>
      </c>
      <c r="I410" s="68">
        <v>123456789</v>
      </c>
      <c r="J410" s="69" t="s">
        <v>887</v>
      </c>
    </row>
    <row r="411" spans="1:10" x14ac:dyDescent="0.3">
      <c r="A411" s="62">
        <v>45339</v>
      </c>
      <c r="B411" s="63" t="s">
        <v>1297</v>
      </c>
      <c r="C411" s="64">
        <v>123457198</v>
      </c>
      <c r="D411" s="70" t="s">
        <v>459</v>
      </c>
      <c r="E411" s="111" t="s">
        <v>868</v>
      </c>
      <c r="F411" s="66">
        <v>646</v>
      </c>
      <c r="G411" s="67">
        <v>29</v>
      </c>
      <c r="H411" s="67">
        <v>18734</v>
      </c>
      <c r="I411" s="68">
        <v>123456789</v>
      </c>
      <c r="J411" s="69" t="s">
        <v>887</v>
      </c>
    </row>
    <row r="412" spans="1:10" x14ac:dyDescent="0.3">
      <c r="A412" s="62">
        <v>45340</v>
      </c>
      <c r="B412" s="63" t="s">
        <v>1298</v>
      </c>
      <c r="C412" s="64">
        <v>123457199</v>
      </c>
      <c r="D412" s="65" t="s">
        <v>460</v>
      </c>
      <c r="E412" s="111" t="s">
        <v>868</v>
      </c>
      <c r="F412" s="66">
        <v>550</v>
      </c>
      <c r="G412" s="67">
        <v>24</v>
      </c>
      <c r="H412" s="67">
        <v>13200</v>
      </c>
      <c r="I412" s="68">
        <v>123456789</v>
      </c>
      <c r="J412" s="69" t="s">
        <v>887</v>
      </c>
    </row>
    <row r="413" spans="1:10" x14ac:dyDescent="0.3">
      <c r="A413" s="62">
        <v>45341</v>
      </c>
      <c r="B413" s="63" t="s">
        <v>1299</v>
      </c>
      <c r="C413" s="64">
        <v>123457200</v>
      </c>
      <c r="D413" s="70" t="s">
        <v>461</v>
      </c>
      <c r="E413" s="111" t="s">
        <v>869</v>
      </c>
      <c r="F413" s="66">
        <v>507</v>
      </c>
      <c r="G413" s="67">
        <v>22</v>
      </c>
      <c r="H413" s="67">
        <v>11154</v>
      </c>
      <c r="I413" s="68">
        <v>123456789</v>
      </c>
      <c r="J413" s="69" t="s">
        <v>887</v>
      </c>
    </row>
    <row r="414" spans="1:10" x14ac:dyDescent="0.3">
      <c r="A414" s="62">
        <v>45342</v>
      </c>
      <c r="B414" s="63" t="s">
        <v>1300</v>
      </c>
      <c r="C414" s="64">
        <v>123457201</v>
      </c>
      <c r="D414" s="65" t="s">
        <v>462</v>
      </c>
      <c r="E414" s="53" t="s">
        <v>868</v>
      </c>
      <c r="F414" s="66">
        <v>572</v>
      </c>
      <c r="G414" s="67">
        <v>28</v>
      </c>
      <c r="H414" s="67">
        <v>16016</v>
      </c>
      <c r="I414" s="68">
        <v>123456789</v>
      </c>
      <c r="J414" s="69" t="s">
        <v>887</v>
      </c>
    </row>
    <row r="415" spans="1:10" x14ac:dyDescent="0.3">
      <c r="A415" s="62">
        <v>45343</v>
      </c>
      <c r="B415" s="63" t="s">
        <v>1301</v>
      </c>
      <c r="C415" s="64">
        <v>123457202</v>
      </c>
      <c r="D415" s="70" t="s">
        <v>463</v>
      </c>
      <c r="E415" s="111" t="s">
        <v>868</v>
      </c>
      <c r="F415" s="66">
        <v>998</v>
      </c>
      <c r="G415" s="67">
        <v>21</v>
      </c>
      <c r="H415" s="67">
        <v>20958</v>
      </c>
      <c r="I415" s="68">
        <v>123456789</v>
      </c>
      <c r="J415" s="69" t="s">
        <v>889</v>
      </c>
    </row>
    <row r="416" spans="1:10" x14ac:dyDescent="0.3">
      <c r="A416" s="62">
        <v>45344</v>
      </c>
      <c r="B416" s="63" t="s">
        <v>1302</v>
      </c>
      <c r="C416" s="64">
        <v>123457203</v>
      </c>
      <c r="D416" s="65" t="s">
        <v>464</v>
      </c>
      <c r="E416" s="53" t="s">
        <v>868</v>
      </c>
      <c r="F416" s="66">
        <v>782</v>
      </c>
      <c r="G416" s="67">
        <v>22</v>
      </c>
      <c r="H416" s="67">
        <v>17204</v>
      </c>
      <c r="I416" s="68">
        <v>123456789</v>
      </c>
      <c r="J416" s="69" t="s">
        <v>887</v>
      </c>
    </row>
    <row r="417" spans="1:10" x14ac:dyDescent="0.3">
      <c r="A417" s="62">
        <v>45345</v>
      </c>
      <c r="B417" s="63" t="s">
        <v>1303</v>
      </c>
      <c r="C417" s="64">
        <v>123457204</v>
      </c>
      <c r="D417" s="70" t="s">
        <v>465</v>
      </c>
      <c r="E417" s="111" t="s">
        <v>868</v>
      </c>
      <c r="F417" s="66">
        <v>665</v>
      </c>
      <c r="G417" s="67">
        <v>24</v>
      </c>
      <c r="H417" s="67">
        <v>15960</v>
      </c>
      <c r="I417" s="68">
        <v>123456789</v>
      </c>
      <c r="J417" s="69" t="s">
        <v>887</v>
      </c>
    </row>
    <row r="418" spans="1:10" x14ac:dyDescent="0.3">
      <c r="A418" s="62">
        <v>45346</v>
      </c>
      <c r="B418" s="63" t="s">
        <v>1304</v>
      </c>
      <c r="C418" s="64">
        <v>123457205</v>
      </c>
      <c r="D418" s="65" t="s">
        <v>466</v>
      </c>
      <c r="E418" s="53" t="s">
        <v>868</v>
      </c>
      <c r="F418" s="66">
        <v>663</v>
      </c>
      <c r="G418" s="67">
        <v>22</v>
      </c>
      <c r="H418" s="67">
        <v>14586</v>
      </c>
      <c r="I418" s="68">
        <v>123456789</v>
      </c>
      <c r="J418" s="69" t="s">
        <v>887</v>
      </c>
    </row>
    <row r="419" spans="1:10" x14ac:dyDescent="0.3">
      <c r="A419" s="62">
        <v>45347</v>
      </c>
      <c r="B419" s="63" t="s">
        <v>1305</v>
      </c>
      <c r="C419" s="64">
        <v>123457206</v>
      </c>
      <c r="D419" s="70" t="s">
        <v>467</v>
      </c>
      <c r="E419" s="111" t="s">
        <v>868</v>
      </c>
      <c r="F419" s="66">
        <v>799</v>
      </c>
      <c r="G419" s="67">
        <v>24</v>
      </c>
      <c r="H419" s="67">
        <v>19176</v>
      </c>
      <c r="I419" s="68">
        <v>123456789</v>
      </c>
      <c r="J419" s="69" t="s">
        <v>889</v>
      </c>
    </row>
    <row r="420" spans="1:10" x14ac:dyDescent="0.3">
      <c r="A420" s="62">
        <v>45348</v>
      </c>
      <c r="B420" s="63" t="s">
        <v>1306</v>
      </c>
      <c r="C420" s="64">
        <v>123457207</v>
      </c>
      <c r="D420" s="65" t="s">
        <v>468</v>
      </c>
      <c r="E420" s="53" t="s">
        <v>868</v>
      </c>
      <c r="F420" s="66">
        <v>649</v>
      </c>
      <c r="G420" s="67">
        <v>25</v>
      </c>
      <c r="H420" s="67">
        <v>16225</v>
      </c>
      <c r="I420" s="68">
        <v>123456789</v>
      </c>
      <c r="J420" s="69" t="s">
        <v>887</v>
      </c>
    </row>
    <row r="421" spans="1:10" x14ac:dyDescent="0.3">
      <c r="A421" s="62">
        <v>45349</v>
      </c>
      <c r="B421" s="63" t="s">
        <v>1307</v>
      </c>
      <c r="C421" s="64">
        <v>123457208</v>
      </c>
      <c r="D421" s="70" t="s">
        <v>469</v>
      </c>
      <c r="E421" s="111" t="s">
        <v>868</v>
      </c>
      <c r="F421" s="66">
        <v>835</v>
      </c>
      <c r="G421" s="67">
        <v>24</v>
      </c>
      <c r="H421" s="67">
        <v>20040</v>
      </c>
      <c r="I421" s="68">
        <v>123456789</v>
      </c>
      <c r="J421" s="69" t="s">
        <v>887</v>
      </c>
    </row>
    <row r="422" spans="1:10" x14ac:dyDescent="0.3">
      <c r="A422" s="62">
        <v>45350</v>
      </c>
      <c r="B422" s="63" t="s">
        <v>1308</v>
      </c>
      <c r="C422" s="64">
        <v>123457209</v>
      </c>
      <c r="D422" s="65" t="s">
        <v>470</v>
      </c>
      <c r="E422" s="53" t="s">
        <v>868</v>
      </c>
      <c r="F422" s="66">
        <v>904</v>
      </c>
      <c r="G422" s="67">
        <v>30</v>
      </c>
      <c r="H422" s="67">
        <v>27120</v>
      </c>
      <c r="I422" s="68">
        <v>123456789</v>
      </c>
      <c r="J422" s="69" t="s">
        <v>887</v>
      </c>
    </row>
    <row r="423" spans="1:10" x14ac:dyDescent="0.3">
      <c r="A423" s="62">
        <v>45351</v>
      </c>
      <c r="B423" s="63" t="s">
        <v>1309</v>
      </c>
      <c r="C423" s="64">
        <v>123457210</v>
      </c>
      <c r="D423" s="70" t="s">
        <v>471</v>
      </c>
      <c r="E423" s="111" t="s">
        <v>868</v>
      </c>
      <c r="F423" s="66">
        <v>558</v>
      </c>
      <c r="G423" s="67">
        <v>26</v>
      </c>
      <c r="H423" s="67">
        <v>14508</v>
      </c>
      <c r="I423" s="68">
        <v>123456789</v>
      </c>
      <c r="J423" s="69" t="s">
        <v>887</v>
      </c>
    </row>
    <row r="424" spans="1:10" x14ac:dyDescent="0.3">
      <c r="A424" s="62">
        <v>45352</v>
      </c>
      <c r="B424" s="63" t="s">
        <v>1310</v>
      </c>
      <c r="C424" s="64">
        <v>123457211</v>
      </c>
      <c r="D424" s="65" t="s">
        <v>472</v>
      </c>
      <c r="E424" s="53" t="s">
        <v>868</v>
      </c>
      <c r="F424" s="66">
        <v>703</v>
      </c>
      <c r="G424" s="67">
        <v>21</v>
      </c>
      <c r="H424" s="67">
        <v>14763</v>
      </c>
      <c r="I424" s="68">
        <v>123456789</v>
      </c>
      <c r="J424" s="69" t="s">
        <v>887</v>
      </c>
    </row>
    <row r="425" spans="1:10" x14ac:dyDescent="0.3">
      <c r="A425" s="62">
        <v>45353</v>
      </c>
      <c r="B425" s="63" t="s">
        <v>1311</v>
      </c>
      <c r="C425" s="64">
        <v>123457212</v>
      </c>
      <c r="D425" s="70" t="s">
        <v>473</v>
      </c>
      <c r="E425" s="111" t="s">
        <v>869</v>
      </c>
      <c r="F425" s="66">
        <v>655</v>
      </c>
      <c r="G425" s="67">
        <v>26</v>
      </c>
      <c r="H425" s="67">
        <v>17030</v>
      </c>
      <c r="I425" s="68">
        <v>123456789</v>
      </c>
      <c r="J425" s="69" t="s">
        <v>887</v>
      </c>
    </row>
    <row r="426" spans="1:10" x14ac:dyDescent="0.3">
      <c r="A426" s="62">
        <v>45354</v>
      </c>
      <c r="B426" s="63" t="s">
        <v>1312</v>
      </c>
      <c r="C426" s="64">
        <v>123457213</v>
      </c>
      <c r="D426" s="65" t="s">
        <v>474</v>
      </c>
      <c r="E426" s="53" t="s">
        <v>869</v>
      </c>
      <c r="F426" s="66">
        <v>559</v>
      </c>
      <c r="G426" s="67">
        <v>22</v>
      </c>
      <c r="H426" s="67">
        <v>12298</v>
      </c>
      <c r="I426" s="68">
        <v>123456789</v>
      </c>
      <c r="J426" s="69" t="s">
        <v>887</v>
      </c>
    </row>
    <row r="427" spans="1:10" x14ac:dyDescent="0.3">
      <c r="A427" s="62">
        <v>45355</v>
      </c>
      <c r="B427" s="63" t="s">
        <v>1313</v>
      </c>
      <c r="C427" s="64">
        <v>123457214</v>
      </c>
      <c r="D427" s="70" t="s">
        <v>475</v>
      </c>
      <c r="E427" s="111" t="s">
        <v>868</v>
      </c>
      <c r="F427" s="66">
        <v>611</v>
      </c>
      <c r="G427" s="67">
        <v>29</v>
      </c>
      <c r="H427" s="67">
        <v>17719</v>
      </c>
      <c r="I427" s="68">
        <v>123456789</v>
      </c>
      <c r="J427" s="69" t="s">
        <v>887</v>
      </c>
    </row>
    <row r="428" spans="1:10" x14ac:dyDescent="0.3">
      <c r="A428" s="62">
        <v>45356</v>
      </c>
      <c r="B428" s="63" t="s">
        <v>1314</v>
      </c>
      <c r="C428" s="64">
        <v>123457215</v>
      </c>
      <c r="D428" s="65" t="s">
        <v>476</v>
      </c>
      <c r="E428" s="53" t="s">
        <v>869</v>
      </c>
      <c r="F428" s="66">
        <v>633</v>
      </c>
      <c r="G428" s="67">
        <v>23</v>
      </c>
      <c r="H428" s="67">
        <v>14559</v>
      </c>
      <c r="I428" s="68">
        <v>123456789</v>
      </c>
      <c r="J428" s="69" t="s">
        <v>889</v>
      </c>
    </row>
    <row r="429" spans="1:10" x14ac:dyDescent="0.3">
      <c r="A429" s="62">
        <v>45357</v>
      </c>
      <c r="B429" s="63" t="s">
        <v>1315</v>
      </c>
      <c r="C429" s="64">
        <v>123457216</v>
      </c>
      <c r="D429" s="70" t="s">
        <v>477</v>
      </c>
      <c r="E429" s="111" t="s">
        <v>869</v>
      </c>
      <c r="F429" s="66">
        <v>594</v>
      </c>
      <c r="G429" s="67">
        <v>28</v>
      </c>
      <c r="H429" s="67">
        <v>16632</v>
      </c>
      <c r="I429" s="68">
        <v>123456789</v>
      </c>
      <c r="J429" s="69" t="s">
        <v>887</v>
      </c>
    </row>
    <row r="430" spans="1:10" x14ac:dyDescent="0.3">
      <c r="A430" s="62">
        <v>45358</v>
      </c>
      <c r="B430" s="63" t="s">
        <v>1316</v>
      </c>
      <c r="C430" s="64">
        <v>123457217</v>
      </c>
      <c r="D430" s="65" t="s">
        <v>478</v>
      </c>
      <c r="E430" s="53" t="s">
        <v>868</v>
      </c>
      <c r="F430" s="66">
        <v>880</v>
      </c>
      <c r="G430" s="67">
        <v>24</v>
      </c>
      <c r="H430" s="67">
        <v>21120</v>
      </c>
      <c r="I430" s="68">
        <v>123456789</v>
      </c>
      <c r="J430" s="69" t="s">
        <v>887</v>
      </c>
    </row>
    <row r="431" spans="1:10" x14ac:dyDescent="0.3">
      <c r="A431" s="62">
        <v>45359</v>
      </c>
      <c r="B431" s="63" t="s">
        <v>1317</v>
      </c>
      <c r="C431" s="64">
        <v>123457218</v>
      </c>
      <c r="D431" s="70" t="s">
        <v>479</v>
      </c>
      <c r="E431" s="111" t="s">
        <v>868</v>
      </c>
      <c r="F431" s="66">
        <v>530</v>
      </c>
      <c r="G431" s="67">
        <v>28</v>
      </c>
      <c r="H431" s="67">
        <v>14840</v>
      </c>
      <c r="I431" s="68">
        <v>123456789</v>
      </c>
      <c r="J431" s="69" t="s">
        <v>887</v>
      </c>
    </row>
    <row r="432" spans="1:10" x14ac:dyDescent="0.3">
      <c r="A432" s="62">
        <v>45360</v>
      </c>
      <c r="B432" s="63" t="s">
        <v>1318</v>
      </c>
      <c r="C432" s="64">
        <v>123457219</v>
      </c>
      <c r="D432" s="65" t="s">
        <v>480</v>
      </c>
      <c r="E432" s="53" t="s">
        <v>869</v>
      </c>
      <c r="F432" s="66">
        <v>969</v>
      </c>
      <c r="G432" s="67">
        <v>26</v>
      </c>
      <c r="H432" s="67">
        <v>25194</v>
      </c>
      <c r="I432" s="68">
        <v>123456789</v>
      </c>
      <c r="J432" s="69" t="s">
        <v>887</v>
      </c>
    </row>
    <row r="433" spans="1:10" x14ac:dyDescent="0.3">
      <c r="A433" s="62">
        <v>45361</v>
      </c>
      <c r="B433" s="63" t="s">
        <v>1319</v>
      </c>
      <c r="C433" s="64">
        <v>123457220</v>
      </c>
      <c r="D433" s="70" t="s">
        <v>481</v>
      </c>
      <c r="E433" s="111" t="s">
        <v>868</v>
      </c>
      <c r="F433" s="66">
        <v>554</v>
      </c>
      <c r="G433" s="67">
        <v>28</v>
      </c>
      <c r="H433" s="67">
        <v>15512</v>
      </c>
      <c r="I433" s="68">
        <v>123456789</v>
      </c>
      <c r="J433" s="69" t="s">
        <v>887</v>
      </c>
    </row>
    <row r="434" spans="1:10" x14ac:dyDescent="0.3">
      <c r="A434" s="62">
        <v>45362</v>
      </c>
      <c r="B434" s="63" t="s">
        <v>1320</v>
      </c>
      <c r="C434" s="64">
        <v>123457221</v>
      </c>
      <c r="D434" s="65" t="s">
        <v>482</v>
      </c>
      <c r="E434" s="53" t="s">
        <v>869</v>
      </c>
      <c r="F434" s="66">
        <v>972</v>
      </c>
      <c r="G434" s="67">
        <v>31</v>
      </c>
      <c r="H434" s="67">
        <v>30132</v>
      </c>
      <c r="I434" s="68">
        <v>123456789</v>
      </c>
      <c r="J434" s="69" t="s">
        <v>889</v>
      </c>
    </row>
    <row r="435" spans="1:10" x14ac:dyDescent="0.3">
      <c r="A435" s="62">
        <v>45363</v>
      </c>
      <c r="B435" s="63" t="s">
        <v>1321</v>
      </c>
      <c r="C435" s="64">
        <v>123457222</v>
      </c>
      <c r="D435" s="70" t="s">
        <v>483</v>
      </c>
      <c r="E435" s="111" t="s">
        <v>868</v>
      </c>
      <c r="F435" s="66">
        <v>795</v>
      </c>
      <c r="G435" s="67">
        <v>28</v>
      </c>
      <c r="H435" s="67">
        <v>22260</v>
      </c>
      <c r="I435" s="68">
        <v>123456789</v>
      </c>
      <c r="J435" s="69" t="s">
        <v>889</v>
      </c>
    </row>
    <row r="436" spans="1:10" x14ac:dyDescent="0.3">
      <c r="A436" s="62">
        <v>45364</v>
      </c>
      <c r="B436" s="63" t="s">
        <v>1322</v>
      </c>
      <c r="C436" s="64">
        <v>123457223</v>
      </c>
      <c r="D436" s="65" t="s">
        <v>484</v>
      </c>
      <c r="E436" s="53" t="s">
        <v>868</v>
      </c>
      <c r="F436" s="66">
        <v>799</v>
      </c>
      <c r="G436" s="67">
        <v>30</v>
      </c>
      <c r="H436" s="67">
        <v>23970</v>
      </c>
      <c r="I436" s="68">
        <v>123456789</v>
      </c>
      <c r="J436" s="69" t="s">
        <v>889</v>
      </c>
    </row>
    <row r="437" spans="1:10" x14ac:dyDescent="0.3">
      <c r="A437" s="62">
        <v>45365</v>
      </c>
      <c r="B437" s="63" t="s">
        <v>1323</v>
      </c>
      <c r="C437" s="64">
        <v>123457224</v>
      </c>
      <c r="D437" s="70" t="s">
        <v>485</v>
      </c>
      <c r="E437" s="111" t="s">
        <v>869</v>
      </c>
      <c r="F437" s="66">
        <v>657</v>
      </c>
      <c r="G437" s="67">
        <v>25</v>
      </c>
      <c r="H437" s="67">
        <v>16425</v>
      </c>
      <c r="I437" s="68">
        <v>123456789</v>
      </c>
      <c r="J437" s="69" t="s">
        <v>887</v>
      </c>
    </row>
    <row r="438" spans="1:10" x14ac:dyDescent="0.3">
      <c r="A438" s="62">
        <v>45366</v>
      </c>
      <c r="B438" s="63" t="s">
        <v>1324</v>
      </c>
      <c r="C438" s="64">
        <v>123457225</v>
      </c>
      <c r="D438" s="65" t="s">
        <v>486</v>
      </c>
      <c r="E438" s="53" t="s">
        <v>868</v>
      </c>
      <c r="F438" s="66">
        <v>890</v>
      </c>
      <c r="G438" s="67">
        <v>22</v>
      </c>
      <c r="H438" s="67">
        <v>19580</v>
      </c>
      <c r="I438" s="68">
        <v>123456789</v>
      </c>
      <c r="J438" s="69" t="s">
        <v>887</v>
      </c>
    </row>
    <row r="439" spans="1:10" x14ac:dyDescent="0.3">
      <c r="A439" s="62">
        <v>45367</v>
      </c>
      <c r="B439" s="63" t="s">
        <v>1325</v>
      </c>
      <c r="C439" s="64">
        <v>123457226</v>
      </c>
      <c r="D439" s="70" t="s">
        <v>487</v>
      </c>
      <c r="E439" s="111" t="s">
        <v>868</v>
      </c>
      <c r="F439" s="66">
        <v>541</v>
      </c>
      <c r="G439" s="67">
        <v>21</v>
      </c>
      <c r="H439" s="67">
        <v>11361</v>
      </c>
      <c r="I439" s="68">
        <v>123456789</v>
      </c>
      <c r="J439" s="69" t="s">
        <v>889</v>
      </c>
    </row>
    <row r="440" spans="1:10" x14ac:dyDescent="0.3">
      <c r="A440" s="62">
        <v>45368</v>
      </c>
      <c r="B440" s="63" t="s">
        <v>1326</v>
      </c>
      <c r="C440" s="64">
        <v>123457227</v>
      </c>
      <c r="D440" s="65" t="s">
        <v>488</v>
      </c>
      <c r="E440" s="53" t="s">
        <v>869</v>
      </c>
      <c r="F440" s="66">
        <v>686</v>
      </c>
      <c r="G440" s="67">
        <v>26</v>
      </c>
      <c r="H440" s="67">
        <v>17836</v>
      </c>
      <c r="I440" s="68">
        <v>123456789</v>
      </c>
      <c r="J440" s="69" t="s">
        <v>887</v>
      </c>
    </row>
    <row r="441" spans="1:10" x14ac:dyDescent="0.3">
      <c r="A441" s="62">
        <v>45369</v>
      </c>
      <c r="B441" s="63" t="s">
        <v>1327</v>
      </c>
      <c r="C441" s="64">
        <v>123457228</v>
      </c>
      <c r="D441" s="70" t="s">
        <v>489</v>
      </c>
      <c r="E441" s="111" t="s">
        <v>868</v>
      </c>
      <c r="F441" s="66">
        <v>603</v>
      </c>
      <c r="G441" s="67">
        <v>25</v>
      </c>
      <c r="H441" s="67">
        <v>15075</v>
      </c>
      <c r="I441" s="68">
        <v>123456789</v>
      </c>
      <c r="J441" s="69" t="s">
        <v>887</v>
      </c>
    </row>
    <row r="442" spans="1:10" x14ac:dyDescent="0.3">
      <c r="A442" s="62">
        <v>45370</v>
      </c>
      <c r="B442" s="63" t="s">
        <v>1328</v>
      </c>
      <c r="C442" s="64">
        <v>123457229</v>
      </c>
      <c r="D442" s="65" t="s">
        <v>490</v>
      </c>
      <c r="E442" s="53" t="s">
        <v>868</v>
      </c>
      <c r="F442" s="66">
        <v>746</v>
      </c>
      <c r="G442" s="67">
        <v>23</v>
      </c>
      <c r="H442" s="67">
        <v>17158</v>
      </c>
      <c r="I442" s="68">
        <v>123456789</v>
      </c>
      <c r="J442" s="69" t="s">
        <v>887</v>
      </c>
    </row>
    <row r="443" spans="1:10" x14ac:dyDescent="0.3">
      <c r="A443" s="62">
        <v>45371</v>
      </c>
      <c r="B443" s="63" t="s">
        <v>1329</v>
      </c>
      <c r="C443" s="64">
        <v>123457230</v>
      </c>
      <c r="D443" s="70" t="s">
        <v>491</v>
      </c>
      <c r="E443" s="111" t="s">
        <v>868</v>
      </c>
      <c r="F443" s="66">
        <v>802</v>
      </c>
      <c r="G443" s="67">
        <v>30</v>
      </c>
      <c r="H443" s="67">
        <v>24060</v>
      </c>
      <c r="I443" s="68">
        <v>123456789</v>
      </c>
      <c r="J443" s="69" t="s">
        <v>887</v>
      </c>
    </row>
    <row r="444" spans="1:10" x14ac:dyDescent="0.3">
      <c r="A444" s="62">
        <v>45372</v>
      </c>
      <c r="B444" s="63" t="s">
        <v>1330</v>
      </c>
      <c r="C444" s="64">
        <v>123457231</v>
      </c>
      <c r="D444" s="65" t="s">
        <v>492</v>
      </c>
      <c r="E444" s="53" t="s">
        <v>868</v>
      </c>
      <c r="F444" s="66">
        <v>909</v>
      </c>
      <c r="G444" s="67">
        <v>24</v>
      </c>
      <c r="H444" s="67">
        <v>21816</v>
      </c>
      <c r="I444" s="68">
        <v>123456789</v>
      </c>
      <c r="J444" s="69" t="s">
        <v>887</v>
      </c>
    </row>
    <row r="445" spans="1:10" x14ac:dyDescent="0.3">
      <c r="A445" s="62">
        <v>45373</v>
      </c>
      <c r="B445" s="63" t="s">
        <v>1331</v>
      </c>
      <c r="C445" s="64">
        <v>123457232</v>
      </c>
      <c r="D445" s="70" t="s">
        <v>493</v>
      </c>
      <c r="E445" s="111" t="s">
        <v>868</v>
      </c>
      <c r="F445" s="66">
        <v>772</v>
      </c>
      <c r="G445" s="67">
        <v>26</v>
      </c>
      <c r="H445" s="67">
        <v>20072</v>
      </c>
      <c r="I445" s="68">
        <v>123456789</v>
      </c>
      <c r="J445" s="69" t="s">
        <v>887</v>
      </c>
    </row>
    <row r="446" spans="1:10" x14ac:dyDescent="0.3">
      <c r="A446" s="62">
        <v>45374</v>
      </c>
      <c r="B446" s="63" t="s">
        <v>1332</v>
      </c>
      <c r="C446" s="64">
        <v>123457233</v>
      </c>
      <c r="D446" s="65" t="s">
        <v>494</v>
      </c>
      <c r="E446" s="53" t="s">
        <v>868</v>
      </c>
      <c r="F446" s="66">
        <v>684</v>
      </c>
      <c r="G446" s="67">
        <v>25</v>
      </c>
      <c r="H446" s="67">
        <v>17100</v>
      </c>
      <c r="I446" s="68">
        <v>123456789</v>
      </c>
      <c r="J446" s="69" t="s">
        <v>887</v>
      </c>
    </row>
    <row r="447" spans="1:10" x14ac:dyDescent="0.3">
      <c r="A447" s="62">
        <v>45375</v>
      </c>
      <c r="B447" s="63" t="s">
        <v>1333</v>
      </c>
      <c r="C447" s="64">
        <v>123457234</v>
      </c>
      <c r="D447" s="70" t="s">
        <v>495</v>
      </c>
      <c r="E447" s="111" t="s">
        <v>868</v>
      </c>
      <c r="F447" s="66">
        <v>937</v>
      </c>
      <c r="G447" s="67">
        <v>24</v>
      </c>
      <c r="H447" s="67">
        <v>22488</v>
      </c>
      <c r="I447" s="68">
        <v>123456789</v>
      </c>
      <c r="J447" s="69" t="s">
        <v>887</v>
      </c>
    </row>
    <row r="448" spans="1:10" x14ac:dyDescent="0.3">
      <c r="A448" s="62">
        <v>45376</v>
      </c>
      <c r="B448" s="63" t="s">
        <v>1334</v>
      </c>
      <c r="C448" s="64">
        <v>123457235</v>
      </c>
      <c r="D448" s="65" t="s">
        <v>496</v>
      </c>
      <c r="E448" s="53" t="s">
        <v>869</v>
      </c>
      <c r="F448" s="66">
        <v>849</v>
      </c>
      <c r="G448" s="67">
        <v>24</v>
      </c>
      <c r="H448" s="67">
        <v>20376</v>
      </c>
      <c r="I448" s="68">
        <v>123456789</v>
      </c>
      <c r="J448" s="69" t="s">
        <v>887</v>
      </c>
    </row>
    <row r="449" spans="1:10" x14ac:dyDescent="0.3">
      <c r="A449" s="62">
        <v>45377</v>
      </c>
      <c r="B449" s="63" t="s">
        <v>1335</v>
      </c>
      <c r="C449" s="64">
        <v>123457236</v>
      </c>
      <c r="D449" s="70" t="s">
        <v>497</v>
      </c>
      <c r="E449" s="111" t="s">
        <v>869</v>
      </c>
      <c r="F449" s="66">
        <v>981</v>
      </c>
      <c r="G449" s="67">
        <v>21</v>
      </c>
      <c r="H449" s="67">
        <v>20601</v>
      </c>
      <c r="I449" s="68">
        <v>123456789</v>
      </c>
      <c r="J449" s="69" t="s">
        <v>889</v>
      </c>
    </row>
    <row r="450" spans="1:10" x14ac:dyDescent="0.3">
      <c r="A450" s="62">
        <v>45378</v>
      </c>
      <c r="B450" s="63" t="s">
        <v>1336</v>
      </c>
      <c r="C450" s="64">
        <v>123457237</v>
      </c>
      <c r="D450" s="65" t="s">
        <v>498</v>
      </c>
      <c r="E450" s="53" t="s">
        <v>868</v>
      </c>
      <c r="F450" s="66">
        <v>777</v>
      </c>
      <c r="G450" s="67">
        <v>29</v>
      </c>
      <c r="H450" s="67">
        <v>22533</v>
      </c>
      <c r="I450" s="68">
        <v>123456789</v>
      </c>
      <c r="J450" s="69" t="s">
        <v>889</v>
      </c>
    </row>
    <row r="451" spans="1:10" x14ac:dyDescent="0.3">
      <c r="A451" s="62">
        <v>45379</v>
      </c>
      <c r="B451" s="63" t="s">
        <v>1337</v>
      </c>
      <c r="C451" s="64">
        <v>123457238</v>
      </c>
      <c r="D451" s="70" t="s">
        <v>499</v>
      </c>
      <c r="E451" s="111" t="s">
        <v>868</v>
      </c>
      <c r="F451" s="66">
        <v>795</v>
      </c>
      <c r="G451" s="67">
        <v>30</v>
      </c>
      <c r="H451" s="67">
        <v>23850</v>
      </c>
      <c r="I451" s="68">
        <v>123456789</v>
      </c>
      <c r="J451" s="69" t="s">
        <v>887</v>
      </c>
    </row>
    <row r="452" spans="1:10" x14ac:dyDescent="0.3">
      <c r="A452" s="62">
        <v>45380</v>
      </c>
      <c r="B452" s="63" t="s">
        <v>1338</v>
      </c>
      <c r="C452" s="64">
        <v>123457239</v>
      </c>
      <c r="D452" s="65" t="s">
        <v>500</v>
      </c>
      <c r="E452" s="53" t="s">
        <v>869</v>
      </c>
      <c r="F452" s="66">
        <v>571</v>
      </c>
      <c r="G452" s="67">
        <v>30</v>
      </c>
      <c r="H452" s="67">
        <v>17130</v>
      </c>
      <c r="I452" s="68">
        <v>123456789</v>
      </c>
      <c r="J452" s="69" t="s">
        <v>887</v>
      </c>
    </row>
    <row r="453" spans="1:10" x14ac:dyDescent="0.3">
      <c r="A453" s="62">
        <v>45381</v>
      </c>
      <c r="B453" s="63" t="s">
        <v>1339</v>
      </c>
      <c r="C453" s="64">
        <v>123457240</v>
      </c>
      <c r="D453" s="70" t="s">
        <v>501</v>
      </c>
      <c r="E453" s="111" t="s">
        <v>868</v>
      </c>
      <c r="F453" s="66">
        <v>563</v>
      </c>
      <c r="G453" s="67">
        <v>27</v>
      </c>
      <c r="H453" s="67">
        <v>15201</v>
      </c>
      <c r="I453" s="68">
        <v>123456789</v>
      </c>
      <c r="J453" s="69" t="s">
        <v>887</v>
      </c>
    </row>
    <row r="454" spans="1:10" x14ac:dyDescent="0.3">
      <c r="A454" s="62">
        <v>45382</v>
      </c>
      <c r="B454" s="63" t="s">
        <v>1340</v>
      </c>
      <c r="C454" s="64">
        <v>123457241</v>
      </c>
      <c r="D454" s="65" t="s">
        <v>502</v>
      </c>
      <c r="E454" s="53" t="s">
        <v>868</v>
      </c>
      <c r="F454" s="66">
        <v>570</v>
      </c>
      <c r="G454" s="67">
        <v>26</v>
      </c>
      <c r="H454" s="67">
        <v>14820</v>
      </c>
      <c r="I454" s="68">
        <v>123456789</v>
      </c>
      <c r="J454" s="69" t="s">
        <v>887</v>
      </c>
    </row>
    <row r="455" spans="1:10" x14ac:dyDescent="0.3">
      <c r="A455" s="62">
        <v>45383</v>
      </c>
      <c r="B455" s="63" t="s">
        <v>1341</v>
      </c>
      <c r="C455" s="64">
        <v>123457242</v>
      </c>
      <c r="D455" s="70" t="s">
        <v>503</v>
      </c>
      <c r="E455" s="111" t="s">
        <v>868</v>
      </c>
      <c r="F455" s="66">
        <v>673</v>
      </c>
      <c r="G455" s="67">
        <v>21</v>
      </c>
      <c r="H455" s="67">
        <v>14133</v>
      </c>
      <c r="I455" s="68">
        <v>123456789</v>
      </c>
      <c r="J455" s="69" t="s">
        <v>887</v>
      </c>
    </row>
    <row r="456" spans="1:10" x14ac:dyDescent="0.3">
      <c r="A456" s="62">
        <v>45384</v>
      </c>
      <c r="B456" s="63" t="s">
        <v>1342</v>
      </c>
      <c r="C456" s="64">
        <v>123457243</v>
      </c>
      <c r="D456" s="65" t="s">
        <v>504</v>
      </c>
      <c r="E456" s="53" t="s">
        <v>868</v>
      </c>
      <c r="F456" s="66">
        <v>597</v>
      </c>
      <c r="G456" s="67">
        <v>26</v>
      </c>
      <c r="H456" s="67">
        <v>15522</v>
      </c>
      <c r="I456" s="68">
        <v>123456789</v>
      </c>
      <c r="J456" s="69" t="s">
        <v>887</v>
      </c>
    </row>
    <row r="457" spans="1:10" x14ac:dyDescent="0.3">
      <c r="A457" s="62">
        <v>45385</v>
      </c>
      <c r="B457" s="63" t="s">
        <v>1343</v>
      </c>
      <c r="C457" s="64">
        <v>123457244</v>
      </c>
      <c r="D457" s="70" t="s">
        <v>505</v>
      </c>
      <c r="E457" s="111" t="s">
        <v>868</v>
      </c>
      <c r="F457" s="66">
        <v>723</v>
      </c>
      <c r="G457" s="67">
        <v>29</v>
      </c>
      <c r="H457" s="67">
        <v>20967</v>
      </c>
      <c r="I457" s="68">
        <v>123456789</v>
      </c>
      <c r="J457" s="69" t="s">
        <v>887</v>
      </c>
    </row>
    <row r="458" spans="1:10" x14ac:dyDescent="0.3">
      <c r="A458" s="62">
        <v>45386</v>
      </c>
      <c r="B458" s="63" t="s">
        <v>1344</v>
      </c>
      <c r="C458" s="64">
        <v>123457245</v>
      </c>
      <c r="D458" s="65" t="s">
        <v>506</v>
      </c>
      <c r="E458" s="53" t="s">
        <v>869</v>
      </c>
      <c r="F458" s="66">
        <v>695</v>
      </c>
      <c r="G458" s="67">
        <v>28</v>
      </c>
      <c r="H458" s="67">
        <v>19460</v>
      </c>
      <c r="I458" s="68">
        <v>123456789</v>
      </c>
      <c r="J458" s="69" t="s">
        <v>889</v>
      </c>
    </row>
    <row r="459" spans="1:10" x14ac:dyDescent="0.3">
      <c r="A459" s="62">
        <v>45387</v>
      </c>
      <c r="B459" s="63" t="s">
        <v>1345</v>
      </c>
      <c r="C459" s="64">
        <v>123457246</v>
      </c>
      <c r="D459" s="70" t="s">
        <v>507</v>
      </c>
      <c r="E459" s="111" t="s">
        <v>869</v>
      </c>
      <c r="F459" s="66">
        <v>921</v>
      </c>
      <c r="G459" s="67">
        <v>21</v>
      </c>
      <c r="H459" s="67">
        <v>19341</v>
      </c>
      <c r="I459" s="68">
        <v>123456789</v>
      </c>
      <c r="J459" s="69" t="s">
        <v>889</v>
      </c>
    </row>
    <row r="460" spans="1:10" x14ac:dyDescent="0.3">
      <c r="A460" s="62">
        <v>45388</v>
      </c>
      <c r="B460" s="63" t="s">
        <v>1346</v>
      </c>
      <c r="C460" s="64">
        <v>123457247</v>
      </c>
      <c r="D460" s="65" t="s">
        <v>508</v>
      </c>
      <c r="E460" s="53" t="s">
        <v>868</v>
      </c>
      <c r="F460" s="66">
        <v>800</v>
      </c>
      <c r="G460" s="67">
        <v>26</v>
      </c>
      <c r="H460" s="67">
        <v>20800</v>
      </c>
      <c r="I460" s="68">
        <v>123456789</v>
      </c>
      <c r="J460" s="69" t="s">
        <v>887</v>
      </c>
    </row>
    <row r="461" spans="1:10" x14ac:dyDescent="0.3">
      <c r="A461" s="62">
        <v>45389</v>
      </c>
      <c r="B461" s="63" t="s">
        <v>1347</v>
      </c>
      <c r="C461" s="64">
        <v>123457248</v>
      </c>
      <c r="D461" s="70" t="s">
        <v>509</v>
      </c>
      <c r="E461" s="111" t="s">
        <v>868</v>
      </c>
      <c r="F461" s="66">
        <v>828</v>
      </c>
      <c r="G461" s="67">
        <v>28</v>
      </c>
      <c r="H461" s="67">
        <v>23184</v>
      </c>
      <c r="I461" s="68">
        <v>123456789</v>
      </c>
      <c r="J461" s="69" t="s">
        <v>887</v>
      </c>
    </row>
    <row r="462" spans="1:10" x14ac:dyDescent="0.3">
      <c r="A462" s="62">
        <v>45390</v>
      </c>
      <c r="B462" s="63" t="s">
        <v>1348</v>
      </c>
      <c r="C462" s="64">
        <v>123457249</v>
      </c>
      <c r="D462" s="65" t="s">
        <v>510</v>
      </c>
      <c r="E462" s="53" t="s">
        <v>868</v>
      </c>
      <c r="F462" s="66">
        <v>676</v>
      </c>
      <c r="G462" s="67">
        <v>21</v>
      </c>
      <c r="H462" s="67">
        <v>14196</v>
      </c>
      <c r="I462" s="68">
        <v>123456789</v>
      </c>
      <c r="J462" s="69" t="s">
        <v>889</v>
      </c>
    </row>
    <row r="463" spans="1:10" x14ac:dyDescent="0.3">
      <c r="A463" s="62">
        <v>45391</v>
      </c>
      <c r="B463" s="63" t="s">
        <v>1349</v>
      </c>
      <c r="C463" s="64">
        <v>123457250</v>
      </c>
      <c r="D463" s="70" t="s">
        <v>511</v>
      </c>
      <c r="E463" s="111" t="s">
        <v>868</v>
      </c>
      <c r="F463" s="66">
        <v>941</v>
      </c>
      <c r="G463" s="67">
        <v>24</v>
      </c>
      <c r="H463" s="67">
        <v>22584</v>
      </c>
      <c r="I463" s="68">
        <v>123456789</v>
      </c>
      <c r="J463" s="69" t="s">
        <v>887</v>
      </c>
    </row>
    <row r="464" spans="1:10" x14ac:dyDescent="0.3">
      <c r="A464" s="62">
        <v>45392</v>
      </c>
      <c r="B464" s="63" t="s">
        <v>1350</v>
      </c>
      <c r="C464" s="64">
        <v>123457251</v>
      </c>
      <c r="D464" s="65" t="s">
        <v>512</v>
      </c>
      <c r="E464" s="53" t="s">
        <v>868</v>
      </c>
      <c r="F464" s="66">
        <v>903</v>
      </c>
      <c r="G464" s="67">
        <v>24</v>
      </c>
      <c r="H464" s="67">
        <v>21672</v>
      </c>
      <c r="I464" s="68">
        <v>123456789</v>
      </c>
      <c r="J464" s="69" t="s">
        <v>887</v>
      </c>
    </row>
    <row r="465" spans="1:10" x14ac:dyDescent="0.3">
      <c r="A465" s="62">
        <v>45393</v>
      </c>
      <c r="B465" s="63" t="s">
        <v>1351</v>
      </c>
      <c r="C465" s="64">
        <v>123457252</v>
      </c>
      <c r="D465" s="70" t="s">
        <v>513</v>
      </c>
      <c r="E465" s="111" t="s">
        <v>868</v>
      </c>
      <c r="F465" s="66">
        <v>529</v>
      </c>
      <c r="G465" s="67">
        <v>27</v>
      </c>
      <c r="H465" s="67">
        <v>14283</v>
      </c>
      <c r="I465" s="68">
        <v>123456789</v>
      </c>
      <c r="J465" s="69" t="s">
        <v>887</v>
      </c>
    </row>
    <row r="466" spans="1:10" x14ac:dyDescent="0.3">
      <c r="A466" s="62">
        <v>45394</v>
      </c>
      <c r="B466" s="63" t="s">
        <v>1352</v>
      </c>
      <c r="C466" s="64">
        <v>123457253</v>
      </c>
      <c r="D466" s="65" t="s">
        <v>514</v>
      </c>
      <c r="E466" s="53" t="s">
        <v>868</v>
      </c>
      <c r="F466" s="66">
        <v>834</v>
      </c>
      <c r="G466" s="67">
        <v>21</v>
      </c>
      <c r="H466" s="67">
        <v>17514</v>
      </c>
      <c r="I466" s="68">
        <v>123456789</v>
      </c>
      <c r="J466" s="69" t="s">
        <v>887</v>
      </c>
    </row>
    <row r="467" spans="1:10" x14ac:dyDescent="0.3">
      <c r="A467" s="62">
        <v>45395</v>
      </c>
      <c r="B467" s="63" t="s">
        <v>1353</v>
      </c>
      <c r="C467" s="64">
        <v>123457254</v>
      </c>
      <c r="D467" s="70" t="s">
        <v>515</v>
      </c>
      <c r="E467" s="111" t="s">
        <v>868</v>
      </c>
      <c r="F467" s="66">
        <v>961</v>
      </c>
      <c r="G467" s="67">
        <v>27</v>
      </c>
      <c r="H467" s="67">
        <v>25947</v>
      </c>
      <c r="I467" s="68">
        <v>123456789</v>
      </c>
      <c r="J467" s="69" t="s">
        <v>887</v>
      </c>
    </row>
    <row r="468" spans="1:10" x14ac:dyDescent="0.3">
      <c r="A468" s="62">
        <v>45396</v>
      </c>
      <c r="B468" s="63" t="s">
        <v>1354</v>
      </c>
      <c r="C468" s="64">
        <v>123457255</v>
      </c>
      <c r="D468" s="65" t="s">
        <v>516</v>
      </c>
      <c r="E468" s="53" t="s">
        <v>868</v>
      </c>
      <c r="F468" s="66">
        <v>649</v>
      </c>
      <c r="G468" s="67">
        <v>25</v>
      </c>
      <c r="H468" s="67">
        <v>16225</v>
      </c>
      <c r="I468" s="68">
        <v>123456789</v>
      </c>
      <c r="J468" s="69" t="s">
        <v>887</v>
      </c>
    </row>
    <row r="469" spans="1:10" x14ac:dyDescent="0.3">
      <c r="A469" s="62">
        <v>45397</v>
      </c>
      <c r="B469" s="63" t="s">
        <v>1355</v>
      </c>
      <c r="C469" s="64">
        <v>123457256</v>
      </c>
      <c r="D469" s="70" t="s">
        <v>517</v>
      </c>
      <c r="E469" s="111" t="s">
        <v>868</v>
      </c>
      <c r="F469" s="66">
        <v>784</v>
      </c>
      <c r="G469" s="67">
        <v>22</v>
      </c>
      <c r="H469" s="67">
        <v>17248</v>
      </c>
      <c r="I469" s="68">
        <v>123456789</v>
      </c>
      <c r="J469" s="69" t="s">
        <v>887</v>
      </c>
    </row>
    <row r="470" spans="1:10" x14ac:dyDescent="0.3">
      <c r="A470" s="62">
        <v>45398</v>
      </c>
      <c r="B470" s="63" t="s">
        <v>1356</v>
      </c>
      <c r="C470" s="64">
        <v>123457257</v>
      </c>
      <c r="D470" s="65" t="s">
        <v>518</v>
      </c>
      <c r="E470" s="53" t="s">
        <v>868</v>
      </c>
      <c r="F470" s="66">
        <v>868</v>
      </c>
      <c r="G470" s="67">
        <v>26</v>
      </c>
      <c r="H470" s="67">
        <v>22568</v>
      </c>
      <c r="I470" s="68">
        <v>123456789</v>
      </c>
      <c r="J470" s="69" t="s">
        <v>887</v>
      </c>
    </row>
    <row r="471" spans="1:10" x14ac:dyDescent="0.3">
      <c r="A471" s="62">
        <v>45399</v>
      </c>
      <c r="B471" s="63" t="s">
        <v>1357</v>
      </c>
      <c r="C471" s="64">
        <v>123457258</v>
      </c>
      <c r="D471" s="70" t="s">
        <v>519</v>
      </c>
      <c r="E471" s="111" t="s">
        <v>868</v>
      </c>
      <c r="F471" s="66">
        <v>555</v>
      </c>
      <c r="G471" s="67">
        <v>31</v>
      </c>
      <c r="H471" s="67">
        <v>17205</v>
      </c>
      <c r="I471" s="68">
        <v>123456789</v>
      </c>
      <c r="J471" s="69" t="s">
        <v>887</v>
      </c>
    </row>
    <row r="472" spans="1:10" x14ac:dyDescent="0.3">
      <c r="A472" s="62">
        <v>45400</v>
      </c>
      <c r="B472" s="63" t="s">
        <v>1358</v>
      </c>
      <c r="C472" s="64">
        <v>123457259</v>
      </c>
      <c r="D472" s="65" t="s">
        <v>520</v>
      </c>
      <c r="E472" s="53" t="s">
        <v>868</v>
      </c>
      <c r="F472" s="66">
        <v>634</v>
      </c>
      <c r="G472" s="67">
        <v>27</v>
      </c>
      <c r="H472" s="67">
        <v>17118</v>
      </c>
      <c r="I472" s="68">
        <v>123456789</v>
      </c>
      <c r="J472" s="69" t="s">
        <v>887</v>
      </c>
    </row>
    <row r="473" spans="1:10" x14ac:dyDescent="0.3">
      <c r="A473" s="62">
        <v>45401</v>
      </c>
      <c r="B473" s="63" t="s">
        <v>1359</v>
      </c>
      <c r="C473" s="64">
        <v>123457260</v>
      </c>
      <c r="D473" s="70" t="s">
        <v>521</v>
      </c>
      <c r="E473" s="111" t="s">
        <v>868</v>
      </c>
      <c r="F473" s="66">
        <v>846</v>
      </c>
      <c r="G473" s="67">
        <v>31</v>
      </c>
      <c r="H473" s="67">
        <v>26226</v>
      </c>
      <c r="I473" s="68">
        <v>123456789</v>
      </c>
      <c r="J473" s="69" t="s">
        <v>887</v>
      </c>
    </row>
    <row r="474" spans="1:10" x14ac:dyDescent="0.3">
      <c r="A474" s="62">
        <v>45402</v>
      </c>
      <c r="B474" s="63" t="s">
        <v>1360</v>
      </c>
      <c r="C474" s="64">
        <v>123457261</v>
      </c>
      <c r="D474" s="65" t="s">
        <v>522</v>
      </c>
      <c r="E474" s="53" t="s">
        <v>868</v>
      </c>
      <c r="F474" s="66">
        <v>723</v>
      </c>
      <c r="G474" s="67">
        <v>30</v>
      </c>
      <c r="H474" s="67">
        <v>21690</v>
      </c>
      <c r="I474" s="68">
        <v>123456789</v>
      </c>
      <c r="J474" s="69" t="s">
        <v>889</v>
      </c>
    </row>
    <row r="475" spans="1:10" x14ac:dyDescent="0.3">
      <c r="A475" s="62">
        <v>45403</v>
      </c>
      <c r="B475" s="63" t="s">
        <v>1361</v>
      </c>
      <c r="C475" s="64">
        <v>123457262</v>
      </c>
      <c r="D475" s="70" t="s">
        <v>523</v>
      </c>
      <c r="E475" s="111" t="s">
        <v>868</v>
      </c>
      <c r="F475" s="66">
        <v>748</v>
      </c>
      <c r="G475" s="67">
        <v>30</v>
      </c>
      <c r="H475" s="67">
        <v>22440</v>
      </c>
      <c r="I475" s="68">
        <v>123456789</v>
      </c>
      <c r="J475" s="69" t="s">
        <v>887</v>
      </c>
    </row>
    <row r="476" spans="1:10" x14ac:dyDescent="0.3">
      <c r="A476" s="62">
        <v>45404</v>
      </c>
      <c r="B476" s="63" t="s">
        <v>1362</v>
      </c>
      <c r="C476" s="64">
        <v>123457263</v>
      </c>
      <c r="D476" s="65" t="s">
        <v>524</v>
      </c>
      <c r="E476" s="53" t="s">
        <v>868</v>
      </c>
      <c r="F476" s="66">
        <v>739</v>
      </c>
      <c r="G476" s="67">
        <v>31</v>
      </c>
      <c r="H476" s="67">
        <v>22909</v>
      </c>
      <c r="I476" s="68">
        <v>123456789</v>
      </c>
      <c r="J476" s="69" t="s">
        <v>889</v>
      </c>
    </row>
    <row r="477" spans="1:10" x14ac:dyDescent="0.3">
      <c r="A477" s="62">
        <v>45405</v>
      </c>
      <c r="B477" s="63" t="s">
        <v>1363</v>
      </c>
      <c r="C477" s="64">
        <v>123457264</v>
      </c>
      <c r="D477" s="70" t="s">
        <v>525</v>
      </c>
      <c r="E477" s="111" t="s">
        <v>868</v>
      </c>
      <c r="F477" s="66">
        <v>518</v>
      </c>
      <c r="G477" s="67">
        <v>24</v>
      </c>
      <c r="H477" s="67">
        <v>12432</v>
      </c>
      <c r="I477" s="68">
        <v>123456789</v>
      </c>
      <c r="J477" s="69" t="s">
        <v>887</v>
      </c>
    </row>
    <row r="478" spans="1:10" x14ac:dyDescent="0.3">
      <c r="A478" s="62">
        <v>45406</v>
      </c>
      <c r="B478" s="63" t="s">
        <v>1364</v>
      </c>
      <c r="C478" s="64">
        <v>123457265</v>
      </c>
      <c r="D478" s="65" t="s">
        <v>526</v>
      </c>
      <c r="E478" s="53" t="s">
        <v>869</v>
      </c>
      <c r="F478" s="66">
        <v>875</v>
      </c>
      <c r="G478" s="67">
        <v>25</v>
      </c>
      <c r="H478" s="67">
        <v>21875</v>
      </c>
      <c r="I478" s="68">
        <v>123456789</v>
      </c>
      <c r="J478" s="69" t="s">
        <v>887</v>
      </c>
    </row>
    <row r="479" spans="1:10" x14ac:dyDescent="0.3">
      <c r="A479" s="62">
        <v>45407</v>
      </c>
      <c r="B479" s="63" t="s">
        <v>1365</v>
      </c>
      <c r="C479" s="64">
        <v>123457266</v>
      </c>
      <c r="D479" s="70" t="s">
        <v>527</v>
      </c>
      <c r="E479" s="111" t="s">
        <v>869</v>
      </c>
      <c r="F479" s="66">
        <v>865</v>
      </c>
      <c r="G479" s="67">
        <v>26</v>
      </c>
      <c r="H479" s="67">
        <v>22490</v>
      </c>
      <c r="I479" s="68">
        <v>123456789</v>
      </c>
      <c r="J479" s="69" t="s">
        <v>889</v>
      </c>
    </row>
    <row r="480" spans="1:10" x14ac:dyDescent="0.3">
      <c r="A480" s="62">
        <v>45408</v>
      </c>
      <c r="B480" s="63" t="s">
        <v>1366</v>
      </c>
      <c r="C480" s="64">
        <v>123457267</v>
      </c>
      <c r="D480" s="65" t="s">
        <v>528</v>
      </c>
      <c r="E480" s="53" t="s">
        <v>869</v>
      </c>
      <c r="F480" s="66">
        <v>854</v>
      </c>
      <c r="G480" s="67">
        <v>28</v>
      </c>
      <c r="H480" s="67">
        <v>23912</v>
      </c>
      <c r="I480" s="68">
        <v>123456789</v>
      </c>
      <c r="J480" s="69" t="s">
        <v>887</v>
      </c>
    </row>
    <row r="481" spans="1:10" x14ac:dyDescent="0.3">
      <c r="A481" s="62">
        <v>45409</v>
      </c>
      <c r="B481" s="63" t="s">
        <v>1367</v>
      </c>
      <c r="C481" s="64">
        <v>123457268</v>
      </c>
      <c r="D481" s="70" t="s">
        <v>529</v>
      </c>
      <c r="E481" s="111" t="s">
        <v>869</v>
      </c>
      <c r="F481" s="66">
        <v>823</v>
      </c>
      <c r="G481" s="67">
        <v>30</v>
      </c>
      <c r="H481" s="67">
        <v>24690</v>
      </c>
      <c r="I481" s="68">
        <v>123456789</v>
      </c>
      <c r="J481" s="69" t="s">
        <v>887</v>
      </c>
    </row>
    <row r="482" spans="1:10" x14ac:dyDescent="0.3">
      <c r="A482" s="62">
        <v>45410</v>
      </c>
      <c r="B482" s="63" t="s">
        <v>1368</v>
      </c>
      <c r="C482" s="64">
        <v>123457269</v>
      </c>
      <c r="D482" s="65" t="s">
        <v>530</v>
      </c>
      <c r="E482" s="53" t="s">
        <v>868</v>
      </c>
      <c r="F482" s="66">
        <v>817</v>
      </c>
      <c r="G482" s="67">
        <v>27</v>
      </c>
      <c r="H482" s="67">
        <v>22059</v>
      </c>
      <c r="I482" s="68">
        <v>123456789</v>
      </c>
      <c r="J482" s="69" t="s">
        <v>889</v>
      </c>
    </row>
    <row r="483" spans="1:10" x14ac:dyDescent="0.3">
      <c r="A483" s="62">
        <v>45411</v>
      </c>
      <c r="B483" s="63" t="s">
        <v>1369</v>
      </c>
      <c r="C483" s="64">
        <v>123457270</v>
      </c>
      <c r="D483" s="70" t="s">
        <v>531</v>
      </c>
      <c r="E483" s="111" t="s">
        <v>868</v>
      </c>
      <c r="F483" s="66">
        <v>572</v>
      </c>
      <c r="G483" s="67">
        <v>21</v>
      </c>
      <c r="H483" s="67">
        <v>12012</v>
      </c>
      <c r="I483" s="68">
        <v>123456789</v>
      </c>
      <c r="J483" s="69" t="s">
        <v>887</v>
      </c>
    </row>
    <row r="484" spans="1:10" x14ac:dyDescent="0.3">
      <c r="A484" s="62">
        <v>45412</v>
      </c>
      <c r="B484" s="63" t="s">
        <v>1370</v>
      </c>
      <c r="C484" s="64">
        <v>123457271</v>
      </c>
      <c r="D484" s="65" t="s">
        <v>532</v>
      </c>
      <c r="E484" s="53" t="s">
        <v>868</v>
      </c>
      <c r="F484" s="66">
        <v>794</v>
      </c>
      <c r="G484" s="67">
        <v>25</v>
      </c>
      <c r="H484" s="67">
        <v>19850</v>
      </c>
      <c r="I484" s="68">
        <v>123456789</v>
      </c>
      <c r="J484" s="69" t="s">
        <v>889</v>
      </c>
    </row>
    <row r="485" spans="1:10" x14ac:dyDescent="0.3">
      <c r="A485" s="62">
        <v>45413</v>
      </c>
      <c r="B485" s="63" t="s">
        <v>1371</v>
      </c>
      <c r="C485" s="64">
        <v>123457272</v>
      </c>
      <c r="D485" s="70" t="s">
        <v>533</v>
      </c>
      <c r="E485" s="111" t="s">
        <v>868</v>
      </c>
      <c r="F485" s="66">
        <v>970</v>
      </c>
      <c r="G485" s="67">
        <v>31</v>
      </c>
      <c r="H485" s="67">
        <v>30070</v>
      </c>
      <c r="I485" s="68">
        <v>123456789</v>
      </c>
      <c r="J485" s="69" t="s">
        <v>887</v>
      </c>
    </row>
    <row r="486" spans="1:10" x14ac:dyDescent="0.3">
      <c r="A486" s="62">
        <v>45414</v>
      </c>
      <c r="B486" s="63" t="s">
        <v>1372</v>
      </c>
      <c r="C486" s="64">
        <v>123457273</v>
      </c>
      <c r="D486" s="65" t="s">
        <v>534</v>
      </c>
      <c r="E486" s="53" t="s">
        <v>868</v>
      </c>
      <c r="F486" s="66">
        <v>854</v>
      </c>
      <c r="G486" s="67">
        <v>28</v>
      </c>
      <c r="H486" s="67">
        <v>23912</v>
      </c>
      <c r="I486" s="68">
        <v>123456789</v>
      </c>
      <c r="J486" s="69" t="s">
        <v>887</v>
      </c>
    </row>
    <row r="487" spans="1:10" x14ac:dyDescent="0.3">
      <c r="A487" s="62">
        <v>45415</v>
      </c>
      <c r="B487" s="63" t="s">
        <v>1373</v>
      </c>
      <c r="C487" s="64">
        <v>123457274</v>
      </c>
      <c r="D487" s="70" t="s">
        <v>535</v>
      </c>
      <c r="E487" s="111" t="s">
        <v>869</v>
      </c>
      <c r="F487" s="66">
        <v>741</v>
      </c>
      <c r="G487" s="67">
        <v>22</v>
      </c>
      <c r="H487" s="67">
        <v>16302</v>
      </c>
      <c r="I487" s="68">
        <v>123456789</v>
      </c>
      <c r="J487" s="69" t="s">
        <v>887</v>
      </c>
    </row>
    <row r="488" spans="1:10" x14ac:dyDescent="0.3">
      <c r="A488" s="62">
        <v>45416</v>
      </c>
      <c r="B488" s="63" t="s">
        <v>1374</v>
      </c>
      <c r="C488" s="64">
        <v>123457275</v>
      </c>
      <c r="D488" s="65" t="s">
        <v>536</v>
      </c>
      <c r="E488" s="53" t="s">
        <v>868</v>
      </c>
      <c r="F488" s="66">
        <v>565</v>
      </c>
      <c r="G488" s="67">
        <v>24</v>
      </c>
      <c r="H488" s="67">
        <v>13560</v>
      </c>
      <c r="I488" s="68">
        <v>123456789</v>
      </c>
      <c r="J488" s="69" t="s">
        <v>889</v>
      </c>
    </row>
    <row r="489" spans="1:10" x14ac:dyDescent="0.3">
      <c r="A489" s="62">
        <v>45417</v>
      </c>
      <c r="B489" s="63" t="s">
        <v>1375</v>
      </c>
      <c r="C489" s="64">
        <v>123457276</v>
      </c>
      <c r="D489" s="70" t="s">
        <v>537</v>
      </c>
      <c r="E489" s="111" t="s">
        <v>868</v>
      </c>
      <c r="F489" s="66">
        <v>785</v>
      </c>
      <c r="G489" s="67">
        <v>23</v>
      </c>
      <c r="H489" s="67">
        <v>18055</v>
      </c>
      <c r="I489" s="68">
        <v>123456789</v>
      </c>
      <c r="J489" s="69" t="s">
        <v>887</v>
      </c>
    </row>
    <row r="490" spans="1:10" x14ac:dyDescent="0.3">
      <c r="A490" s="62">
        <v>45418</v>
      </c>
      <c r="B490" s="63" t="s">
        <v>1376</v>
      </c>
      <c r="C490" s="64">
        <v>123457277</v>
      </c>
      <c r="D490" s="65" t="s">
        <v>538</v>
      </c>
      <c r="E490" s="53" t="s">
        <v>868</v>
      </c>
      <c r="F490" s="66">
        <v>821</v>
      </c>
      <c r="G490" s="67">
        <v>21</v>
      </c>
      <c r="H490" s="67">
        <v>17241</v>
      </c>
      <c r="I490" s="68">
        <v>123456789</v>
      </c>
      <c r="J490" s="69" t="s">
        <v>887</v>
      </c>
    </row>
    <row r="491" spans="1:10" x14ac:dyDescent="0.3">
      <c r="A491" s="62">
        <v>45419</v>
      </c>
      <c r="B491" s="63" t="s">
        <v>1377</v>
      </c>
      <c r="C491" s="64">
        <v>123457278</v>
      </c>
      <c r="D491" s="70" t="s">
        <v>539</v>
      </c>
      <c r="E491" s="111" t="s">
        <v>868</v>
      </c>
      <c r="F491" s="66">
        <v>701</v>
      </c>
      <c r="G491" s="67">
        <v>28</v>
      </c>
      <c r="H491" s="67">
        <v>19628</v>
      </c>
      <c r="I491" s="68">
        <v>123456789</v>
      </c>
      <c r="J491" s="69" t="s">
        <v>887</v>
      </c>
    </row>
    <row r="492" spans="1:10" x14ac:dyDescent="0.3">
      <c r="A492" s="62">
        <v>45420</v>
      </c>
      <c r="B492" s="63" t="s">
        <v>1378</v>
      </c>
      <c r="C492" s="64">
        <v>123457279</v>
      </c>
      <c r="D492" s="65" t="s">
        <v>540</v>
      </c>
      <c r="E492" s="53" t="s">
        <v>868</v>
      </c>
      <c r="F492" s="66">
        <v>949</v>
      </c>
      <c r="G492" s="67">
        <v>30</v>
      </c>
      <c r="H492" s="67">
        <v>28470</v>
      </c>
      <c r="I492" s="68">
        <v>123456789</v>
      </c>
      <c r="J492" s="69" t="s">
        <v>889</v>
      </c>
    </row>
    <row r="493" spans="1:10" x14ac:dyDescent="0.3">
      <c r="A493" s="62">
        <v>45421</v>
      </c>
      <c r="B493" s="63" t="s">
        <v>1379</v>
      </c>
      <c r="C493" s="64">
        <v>123457280</v>
      </c>
      <c r="D493" s="70" t="s">
        <v>541</v>
      </c>
      <c r="E493" s="111" t="s">
        <v>868</v>
      </c>
      <c r="F493" s="66">
        <v>774</v>
      </c>
      <c r="G493" s="67">
        <v>27</v>
      </c>
      <c r="H493" s="67">
        <v>20898</v>
      </c>
      <c r="I493" s="68">
        <v>123456789</v>
      </c>
      <c r="J493" s="69" t="s">
        <v>887</v>
      </c>
    </row>
    <row r="494" spans="1:10" x14ac:dyDescent="0.3">
      <c r="A494" s="62">
        <v>45422</v>
      </c>
      <c r="B494" s="63" t="s">
        <v>1380</v>
      </c>
      <c r="C494" s="64">
        <v>123457281</v>
      </c>
      <c r="D494" s="65" t="s">
        <v>542</v>
      </c>
      <c r="E494" s="53" t="s">
        <v>868</v>
      </c>
      <c r="F494" s="66">
        <v>606</v>
      </c>
      <c r="G494" s="67">
        <v>21</v>
      </c>
      <c r="H494" s="67">
        <v>12726</v>
      </c>
      <c r="I494" s="68">
        <v>123456789</v>
      </c>
      <c r="J494" s="69" t="s">
        <v>887</v>
      </c>
    </row>
    <row r="495" spans="1:10" x14ac:dyDescent="0.3">
      <c r="A495" s="62">
        <v>45423</v>
      </c>
      <c r="B495" s="63" t="s">
        <v>1381</v>
      </c>
      <c r="C495" s="64">
        <v>123457282</v>
      </c>
      <c r="D495" s="70" t="s">
        <v>543</v>
      </c>
      <c r="E495" s="111" t="s">
        <v>869</v>
      </c>
      <c r="F495" s="66">
        <v>936</v>
      </c>
      <c r="G495" s="67">
        <v>25</v>
      </c>
      <c r="H495" s="67">
        <v>23400</v>
      </c>
      <c r="I495" s="68">
        <v>123456789</v>
      </c>
      <c r="J495" s="69" t="s">
        <v>887</v>
      </c>
    </row>
    <row r="496" spans="1:10" x14ac:dyDescent="0.3">
      <c r="A496" s="62">
        <v>45424</v>
      </c>
      <c r="B496" s="63" t="s">
        <v>1382</v>
      </c>
      <c r="C496" s="64">
        <v>123457283</v>
      </c>
      <c r="D496" s="65" t="s">
        <v>544</v>
      </c>
      <c r="E496" s="53" t="s">
        <v>868</v>
      </c>
      <c r="F496" s="66">
        <v>578</v>
      </c>
      <c r="G496" s="67">
        <v>25</v>
      </c>
      <c r="H496" s="67">
        <v>14450</v>
      </c>
      <c r="I496" s="68">
        <v>123456789</v>
      </c>
      <c r="J496" s="69" t="s">
        <v>889</v>
      </c>
    </row>
    <row r="497" spans="1:10" x14ac:dyDescent="0.3">
      <c r="A497" s="62">
        <v>45425</v>
      </c>
      <c r="B497" s="63" t="s">
        <v>1383</v>
      </c>
      <c r="C497" s="64">
        <v>123457284</v>
      </c>
      <c r="D497" s="70" t="s">
        <v>545</v>
      </c>
      <c r="E497" s="111" t="s">
        <v>868</v>
      </c>
      <c r="F497" s="66">
        <v>716</v>
      </c>
      <c r="G497" s="67">
        <v>22</v>
      </c>
      <c r="H497" s="67">
        <v>15752</v>
      </c>
      <c r="I497" s="68">
        <v>123456789</v>
      </c>
      <c r="J497" s="69" t="s">
        <v>887</v>
      </c>
    </row>
    <row r="498" spans="1:10" x14ac:dyDescent="0.3">
      <c r="A498" s="62">
        <v>45426</v>
      </c>
      <c r="B498" s="63" t="s">
        <v>1384</v>
      </c>
      <c r="C498" s="64">
        <v>123457285</v>
      </c>
      <c r="D498" s="65" t="s">
        <v>546</v>
      </c>
      <c r="E498" s="53" t="s">
        <v>868</v>
      </c>
      <c r="F498" s="66">
        <v>520</v>
      </c>
      <c r="G498" s="67">
        <v>28</v>
      </c>
      <c r="H498" s="67">
        <v>14560</v>
      </c>
      <c r="I498" s="68">
        <v>123456789</v>
      </c>
      <c r="J498" s="69" t="s">
        <v>887</v>
      </c>
    </row>
    <row r="499" spans="1:10" x14ac:dyDescent="0.3">
      <c r="A499" s="62">
        <v>45427</v>
      </c>
      <c r="B499" s="63" t="s">
        <v>1385</v>
      </c>
      <c r="C499" s="64">
        <v>123457286</v>
      </c>
      <c r="D499" s="70" t="s">
        <v>547</v>
      </c>
      <c r="E499" s="111" t="s">
        <v>869</v>
      </c>
      <c r="F499" s="66">
        <v>773</v>
      </c>
      <c r="G499" s="67">
        <v>29</v>
      </c>
      <c r="H499" s="67">
        <v>22417</v>
      </c>
      <c r="I499" s="68">
        <v>123456789</v>
      </c>
      <c r="J499" s="69" t="s">
        <v>887</v>
      </c>
    </row>
    <row r="500" spans="1:10" x14ac:dyDescent="0.3">
      <c r="A500" s="62">
        <v>45428</v>
      </c>
      <c r="B500" s="63" t="s">
        <v>1386</v>
      </c>
      <c r="C500" s="64">
        <v>123457287</v>
      </c>
      <c r="D500" s="65" t="s">
        <v>548</v>
      </c>
      <c r="E500" s="53" t="s">
        <v>868</v>
      </c>
      <c r="F500" s="66">
        <v>661</v>
      </c>
      <c r="G500" s="67">
        <v>21</v>
      </c>
      <c r="H500" s="67">
        <v>13881</v>
      </c>
      <c r="I500" s="68">
        <v>123456789</v>
      </c>
      <c r="J500" s="69" t="s">
        <v>887</v>
      </c>
    </row>
    <row r="501" spans="1:10" x14ac:dyDescent="0.3">
      <c r="A501" s="62">
        <v>45429</v>
      </c>
      <c r="B501" s="63" t="s">
        <v>1387</v>
      </c>
      <c r="C501" s="64">
        <v>123457288</v>
      </c>
      <c r="D501" s="70" t="s">
        <v>549</v>
      </c>
      <c r="E501" s="111" t="s">
        <v>868</v>
      </c>
      <c r="F501" s="66">
        <v>953</v>
      </c>
      <c r="G501" s="67">
        <v>28</v>
      </c>
      <c r="H501" s="67">
        <v>26684</v>
      </c>
      <c r="I501" s="68">
        <v>123456789</v>
      </c>
      <c r="J501" s="69" t="s">
        <v>889</v>
      </c>
    </row>
    <row r="502" spans="1:10" x14ac:dyDescent="0.3">
      <c r="A502" s="62">
        <v>45430</v>
      </c>
      <c r="B502" s="63" t="s">
        <v>1388</v>
      </c>
      <c r="C502" s="64">
        <v>123457289</v>
      </c>
      <c r="D502" s="65" t="s">
        <v>550</v>
      </c>
      <c r="E502" s="53" t="s">
        <v>868</v>
      </c>
      <c r="F502" s="66">
        <v>668</v>
      </c>
      <c r="G502" s="67">
        <v>22</v>
      </c>
      <c r="H502" s="67">
        <v>14696</v>
      </c>
      <c r="I502" s="68">
        <v>123456789</v>
      </c>
      <c r="J502" s="69" t="s">
        <v>887</v>
      </c>
    </row>
    <row r="503" spans="1:10" x14ac:dyDescent="0.3">
      <c r="A503" s="62">
        <v>45431</v>
      </c>
      <c r="B503" s="63" t="s">
        <v>1389</v>
      </c>
      <c r="C503" s="64">
        <v>123457290</v>
      </c>
      <c r="D503" s="70" t="s">
        <v>551</v>
      </c>
      <c r="E503" s="111" t="s">
        <v>868</v>
      </c>
      <c r="F503" s="66">
        <v>584</v>
      </c>
      <c r="G503" s="67">
        <v>22</v>
      </c>
      <c r="H503" s="67">
        <v>12848</v>
      </c>
      <c r="I503" s="68">
        <v>123456789</v>
      </c>
      <c r="J503" s="69" t="s">
        <v>887</v>
      </c>
    </row>
    <row r="504" spans="1:10" x14ac:dyDescent="0.3">
      <c r="A504" s="62">
        <v>45432</v>
      </c>
      <c r="B504" s="63" t="s">
        <v>1390</v>
      </c>
      <c r="C504" s="64">
        <v>123457291</v>
      </c>
      <c r="D504" s="65" t="s">
        <v>552</v>
      </c>
      <c r="E504" s="53" t="s">
        <v>869</v>
      </c>
      <c r="F504" s="66">
        <v>971</v>
      </c>
      <c r="G504" s="67">
        <v>29</v>
      </c>
      <c r="H504" s="67">
        <v>28159</v>
      </c>
      <c r="I504" s="68">
        <v>123456789</v>
      </c>
      <c r="J504" s="69" t="s">
        <v>889</v>
      </c>
    </row>
    <row r="505" spans="1:10" x14ac:dyDescent="0.3">
      <c r="A505" s="62">
        <v>45433</v>
      </c>
      <c r="B505" s="63" t="s">
        <v>1391</v>
      </c>
      <c r="C505" s="64">
        <v>123457292</v>
      </c>
      <c r="D505" s="70" t="s">
        <v>553</v>
      </c>
      <c r="E505" s="111" t="s">
        <v>868</v>
      </c>
      <c r="F505" s="66">
        <v>855</v>
      </c>
      <c r="G505" s="67">
        <v>23</v>
      </c>
      <c r="H505" s="67">
        <v>19665</v>
      </c>
      <c r="I505" s="68">
        <v>123456789</v>
      </c>
      <c r="J505" s="69" t="s">
        <v>887</v>
      </c>
    </row>
    <row r="506" spans="1:10" x14ac:dyDescent="0.3">
      <c r="A506" s="62">
        <v>45434</v>
      </c>
      <c r="B506" s="63" t="s">
        <v>1392</v>
      </c>
      <c r="C506" s="64">
        <v>123457293</v>
      </c>
      <c r="D506" s="65" t="s">
        <v>554</v>
      </c>
      <c r="E506" s="53" t="s">
        <v>869</v>
      </c>
      <c r="F506" s="66">
        <v>533</v>
      </c>
      <c r="G506" s="67">
        <v>27</v>
      </c>
      <c r="H506" s="67">
        <v>14391</v>
      </c>
      <c r="I506" s="68">
        <v>123456789</v>
      </c>
      <c r="J506" s="69" t="s">
        <v>887</v>
      </c>
    </row>
    <row r="507" spans="1:10" x14ac:dyDescent="0.3">
      <c r="A507" s="62">
        <v>45435</v>
      </c>
      <c r="B507" s="63" t="s">
        <v>1393</v>
      </c>
      <c r="C507" s="64">
        <v>123457294</v>
      </c>
      <c r="D507" s="70" t="s">
        <v>555</v>
      </c>
      <c r="E507" s="111" t="s">
        <v>869</v>
      </c>
      <c r="F507" s="66">
        <v>989</v>
      </c>
      <c r="G507" s="67">
        <v>25</v>
      </c>
      <c r="H507" s="67">
        <v>24725</v>
      </c>
      <c r="I507" s="68">
        <v>123456789</v>
      </c>
      <c r="J507" s="69" t="s">
        <v>889</v>
      </c>
    </row>
    <row r="508" spans="1:10" x14ac:dyDescent="0.3">
      <c r="A508" s="62">
        <v>45436</v>
      </c>
      <c r="B508" s="63" t="s">
        <v>1394</v>
      </c>
      <c r="C508" s="64">
        <v>123457295</v>
      </c>
      <c r="D508" s="65" t="s">
        <v>556</v>
      </c>
      <c r="E508" s="53" t="s">
        <v>868</v>
      </c>
      <c r="F508" s="66">
        <v>696</v>
      </c>
      <c r="G508" s="67">
        <v>25</v>
      </c>
      <c r="H508" s="67">
        <v>17400</v>
      </c>
      <c r="I508" s="68">
        <v>123456789</v>
      </c>
      <c r="J508" s="69" t="s">
        <v>887</v>
      </c>
    </row>
    <row r="509" spans="1:10" x14ac:dyDescent="0.3">
      <c r="A509" s="62">
        <v>45437</v>
      </c>
      <c r="B509" s="63" t="s">
        <v>1395</v>
      </c>
      <c r="C509" s="64">
        <v>123457296</v>
      </c>
      <c r="D509" s="70" t="s">
        <v>557</v>
      </c>
      <c r="E509" s="111" t="s">
        <v>868</v>
      </c>
      <c r="F509" s="66">
        <v>915</v>
      </c>
      <c r="G509" s="67">
        <v>31</v>
      </c>
      <c r="H509" s="67">
        <v>28365</v>
      </c>
      <c r="I509" s="68">
        <v>123456789</v>
      </c>
      <c r="J509" s="69" t="s">
        <v>889</v>
      </c>
    </row>
    <row r="510" spans="1:10" x14ac:dyDescent="0.3">
      <c r="A510" s="62">
        <v>45438</v>
      </c>
      <c r="B510" s="63" t="s">
        <v>1396</v>
      </c>
      <c r="C510" s="64">
        <v>123457297</v>
      </c>
      <c r="D510" s="65" t="s">
        <v>558</v>
      </c>
      <c r="E510" s="53" t="s">
        <v>868</v>
      </c>
      <c r="F510" s="66">
        <v>870</v>
      </c>
      <c r="G510" s="67">
        <v>28</v>
      </c>
      <c r="H510" s="67">
        <v>24360</v>
      </c>
      <c r="I510" s="68">
        <v>123456789</v>
      </c>
      <c r="J510" s="69" t="s">
        <v>887</v>
      </c>
    </row>
    <row r="511" spans="1:10" x14ac:dyDescent="0.3">
      <c r="A511" s="62">
        <v>45439</v>
      </c>
      <c r="B511" s="63" t="s">
        <v>1397</v>
      </c>
      <c r="C511" s="64">
        <v>123457298</v>
      </c>
      <c r="D511" s="70" t="s">
        <v>559</v>
      </c>
      <c r="E511" s="111" t="s">
        <v>868</v>
      </c>
      <c r="F511" s="66">
        <v>862</v>
      </c>
      <c r="G511" s="67">
        <v>31</v>
      </c>
      <c r="H511" s="67">
        <v>26722</v>
      </c>
      <c r="I511" s="68">
        <v>123456789</v>
      </c>
      <c r="J511" s="69" t="s">
        <v>887</v>
      </c>
    </row>
    <row r="512" spans="1:10" x14ac:dyDescent="0.3">
      <c r="A512" s="62">
        <v>45440</v>
      </c>
      <c r="B512" s="63" t="s">
        <v>1398</v>
      </c>
      <c r="C512" s="64">
        <v>123457299</v>
      </c>
      <c r="D512" s="65" t="s">
        <v>560</v>
      </c>
      <c r="E512" s="53" t="s">
        <v>868</v>
      </c>
      <c r="F512" s="66">
        <v>892</v>
      </c>
      <c r="G512" s="67">
        <v>31</v>
      </c>
      <c r="H512" s="67">
        <v>27652</v>
      </c>
      <c r="I512" s="68">
        <v>123456789</v>
      </c>
      <c r="J512" s="69" t="s">
        <v>887</v>
      </c>
    </row>
    <row r="513" spans="1:10" x14ac:dyDescent="0.3">
      <c r="A513" s="62">
        <v>45441</v>
      </c>
      <c r="B513" s="63" t="s">
        <v>1399</v>
      </c>
      <c r="C513" s="64">
        <v>123457300</v>
      </c>
      <c r="D513" s="70" t="s">
        <v>561</v>
      </c>
      <c r="E513" s="111" t="s">
        <v>868</v>
      </c>
      <c r="F513" s="66">
        <v>766</v>
      </c>
      <c r="G513" s="67">
        <v>24</v>
      </c>
      <c r="H513" s="67">
        <v>18384</v>
      </c>
      <c r="I513" s="68">
        <v>123456789</v>
      </c>
      <c r="J513" s="69" t="s">
        <v>887</v>
      </c>
    </row>
    <row r="514" spans="1:10" x14ac:dyDescent="0.3">
      <c r="A514" s="62">
        <v>45442</v>
      </c>
      <c r="B514" s="63" t="s">
        <v>1400</v>
      </c>
      <c r="C514" s="64">
        <v>123457301</v>
      </c>
      <c r="D514" s="65" t="s">
        <v>562</v>
      </c>
      <c r="E514" s="53" t="s">
        <v>868</v>
      </c>
      <c r="F514" s="66">
        <v>996</v>
      </c>
      <c r="G514" s="67">
        <v>24</v>
      </c>
      <c r="H514" s="67">
        <v>23904</v>
      </c>
      <c r="I514" s="68">
        <v>123456789</v>
      </c>
      <c r="J514" s="69" t="s">
        <v>889</v>
      </c>
    </row>
    <row r="515" spans="1:10" x14ac:dyDescent="0.3">
      <c r="A515" s="62">
        <v>45443</v>
      </c>
      <c r="B515" s="63" t="s">
        <v>1401</v>
      </c>
      <c r="C515" s="64">
        <v>123457302</v>
      </c>
      <c r="D515" s="70" t="s">
        <v>563</v>
      </c>
      <c r="E515" s="111" t="s">
        <v>868</v>
      </c>
      <c r="F515" s="66">
        <v>955</v>
      </c>
      <c r="G515" s="67">
        <v>23</v>
      </c>
      <c r="H515" s="67">
        <v>21965</v>
      </c>
      <c r="I515" s="68">
        <v>123456789</v>
      </c>
      <c r="J515" s="69" t="s">
        <v>887</v>
      </c>
    </row>
    <row r="516" spans="1:10" x14ac:dyDescent="0.3">
      <c r="A516" s="62">
        <v>45444</v>
      </c>
      <c r="B516" s="63" t="s">
        <v>1402</v>
      </c>
      <c r="C516" s="64">
        <v>123457303</v>
      </c>
      <c r="D516" s="65" t="s">
        <v>564</v>
      </c>
      <c r="E516" s="53" t="s">
        <v>868</v>
      </c>
      <c r="F516" s="66">
        <v>858</v>
      </c>
      <c r="G516" s="67">
        <v>23</v>
      </c>
      <c r="H516" s="67">
        <v>19734</v>
      </c>
      <c r="I516" s="68">
        <v>123456789</v>
      </c>
      <c r="J516" s="69" t="s">
        <v>887</v>
      </c>
    </row>
    <row r="517" spans="1:10" x14ac:dyDescent="0.3">
      <c r="A517" s="62">
        <v>45445</v>
      </c>
      <c r="B517" s="63" t="s">
        <v>1403</v>
      </c>
      <c r="C517" s="64">
        <v>123457304</v>
      </c>
      <c r="D517" s="70" t="s">
        <v>565</v>
      </c>
      <c r="E517" s="111" t="s">
        <v>869</v>
      </c>
      <c r="F517" s="66">
        <v>770</v>
      </c>
      <c r="G517" s="67">
        <v>30</v>
      </c>
      <c r="H517" s="67">
        <v>23100</v>
      </c>
      <c r="I517" s="68">
        <v>123456789</v>
      </c>
      <c r="J517" s="69" t="s">
        <v>889</v>
      </c>
    </row>
    <row r="518" spans="1:10" x14ac:dyDescent="0.3">
      <c r="A518" s="62">
        <v>45446</v>
      </c>
      <c r="B518" s="63" t="s">
        <v>1404</v>
      </c>
      <c r="C518" s="64">
        <v>123457305</v>
      </c>
      <c r="D518" s="65" t="s">
        <v>566</v>
      </c>
      <c r="E518" s="53" t="s">
        <v>868</v>
      </c>
      <c r="F518" s="66">
        <v>768</v>
      </c>
      <c r="G518" s="67">
        <v>26</v>
      </c>
      <c r="H518" s="67">
        <v>19968</v>
      </c>
      <c r="I518" s="68">
        <v>123456789</v>
      </c>
      <c r="J518" s="69" t="s">
        <v>887</v>
      </c>
    </row>
    <row r="519" spans="1:10" x14ac:dyDescent="0.3">
      <c r="A519" s="62">
        <v>45447</v>
      </c>
      <c r="B519" s="63" t="s">
        <v>1405</v>
      </c>
      <c r="C519" s="64">
        <v>123457306</v>
      </c>
      <c r="D519" s="70" t="s">
        <v>567</v>
      </c>
      <c r="E519" s="111" t="s">
        <v>869</v>
      </c>
      <c r="F519" s="66">
        <v>869</v>
      </c>
      <c r="G519" s="67">
        <v>27</v>
      </c>
      <c r="H519" s="67">
        <v>23463</v>
      </c>
      <c r="I519" s="68">
        <v>123456789</v>
      </c>
      <c r="J519" s="69" t="s">
        <v>887</v>
      </c>
    </row>
    <row r="520" spans="1:10" x14ac:dyDescent="0.3">
      <c r="A520" s="62">
        <v>45448</v>
      </c>
      <c r="B520" s="63" t="s">
        <v>1406</v>
      </c>
      <c r="C520" s="64">
        <v>123457307</v>
      </c>
      <c r="D520" s="65" t="s">
        <v>568</v>
      </c>
      <c r="E520" s="53" t="s">
        <v>868</v>
      </c>
      <c r="F520" s="66">
        <v>809</v>
      </c>
      <c r="G520" s="67">
        <v>31</v>
      </c>
      <c r="H520" s="67">
        <v>25079</v>
      </c>
      <c r="I520" s="68">
        <v>123456789</v>
      </c>
      <c r="J520" s="69" t="s">
        <v>887</v>
      </c>
    </row>
    <row r="521" spans="1:10" x14ac:dyDescent="0.3">
      <c r="A521" s="62">
        <v>45449</v>
      </c>
      <c r="B521" s="63" t="s">
        <v>1407</v>
      </c>
      <c r="C521" s="64">
        <v>123457308</v>
      </c>
      <c r="D521" s="70" t="s">
        <v>569</v>
      </c>
      <c r="E521" s="111" t="s">
        <v>868</v>
      </c>
      <c r="F521" s="66">
        <v>540</v>
      </c>
      <c r="G521" s="67">
        <v>29</v>
      </c>
      <c r="H521" s="67">
        <v>15660</v>
      </c>
      <c r="I521" s="68">
        <v>123456789</v>
      </c>
      <c r="J521" s="69" t="s">
        <v>889</v>
      </c>
    </row>
    <row r="522" spans="1:10" x14ac:dyDescent="0.3">
      <c r="A522" s="62">
        <v>45450</v>
      </c>
      <c r="B522" s="63" t="s">
        <v>1408</v>
      </c>
      <c r="C522" s="64">
        <v>123457309</v>
      </c>
      <c r="D522" s="65" t="s">
        <v>570</v>
      </c>
      <c r="E522" s="53" t="s">
        <v>868</v>
      </c>
      <c r="F522" s="66">
        <v>755</v>
      </c>
      <c r="G522" s="67">
        <v>26</v>
      </c>
      <c r="H522" s="67">
        <v>19630</v>
      </c>
      <c r="I522" s="68">
        <v>123456789</v>
      </c>
      <c r="J522" s="69" t="s">
        <v>887</v>
      </c>
    </row>
    <row r="523" spans="1:10" x14ac:dyDescent="0.3">
      <c r="A523" s="62">
        <v>45451</v>
      </c>
      <c r="B523" s="63" t="s">
        <v>1409</v>
      </c>
      <c r="C523" s="64">
        <v>123457310</v>
      </c>
      <c r="D523" s="70" t="s">
        <v>571</v>
      </c>
      <c r="E523" s="111" t="s">
        <v>868</v>
      </c>
      <c r="F523" s="66">
        <v>994</v>
      </c>
      <c r="G523" s="67">
        <v>29</v>
      </c>
      <c r="H523" s="67">
        <v>28826</v>
      </c>
      <c r="I523" s="68">
        <v>123456789</v>
      </c>
      <c r="J523" s="69" t="s">
        <v>887</v>
      </c>
    </row>
    <row r="524" spans="1:10" x14ac:dyDescent="0.3">
      <c r="A524" s="62">
        <v>45452</v>
      </c>
      <c r="B524" s="63" t="s">
        <v>1410</v>
      </c>
      <c r="C524" s="64">
        <v>123457311</v>
      </c>
      <c r="D524" s="65" t="s">
        <v>572</v>
      </c>
      <c r="E524" s="53" t="s">
        <v>868</v>
      </c>
      <c r="F524" s="66">
        <v>903</v>
      </c>
      <c r="G524" s="67">
        <v>25</v>
      </c>
      <c r="H524" s="67">
        <v>22575</v>
      </c>
      <c r="I524" s="68">
        <v>123456789</v>
      </c>
      <c r="J524" s="69" t="s">
        <v>887</v>
      </c>
    </row>
    <row r="525" spans="1:10" x14ac:dyDescent="0.3">
      <c r="A525" s="62">
        <v>45453</v>
      </c>
      <c r="B525" s="63" t="s">
        <v>1411</v>
      </c>
      <c r="C525" s="64">
        <v>123457312</v>
      </c>
      <c r="D525" s="70" t="s">
        <v>573</v>
      </c>
      <c r="E525" s="111" t="s">
        <v>868</v>
      </c>
      <c r="F525" s="66">
        <v>711</v>
      </c>
      <c r="G525" s="67">
        <v>26</v>
      </c>
      <c r="H525" s="67">
        <v>18486</v>
      </c>
      <c r="I525" s="68">
        <v>123456789</v>
      </c>
      <c r="J525" s="69" t="s">
        <v>887</v>
      </c>
    </row>
    <row r="526" spans="1:10" x14ac:dyDescent="0.3">
      <c r="A526" s="62">
        <v>45454</v>
      </c>
      <c r="B526" s="63" t="s">
        <v>1412</v>
      </c>
      <c r="C526" s="64">
        <v>123457313</v>
      </c>
      <c r="D526" s="65" t="s">
        <v>574</v>
      </c>
      <c r="E526" s="53" t="s">
        <v>868</v>
      </c>
      <c r="F526" s="66">
        <v>727</v>
      </c>
      <c r="G526" s="67">
        <v>22</v>
      </c>
      <c r="H526" s="67">
        <v>15994</v>
      </c>
      <c r="I526" s="68">
        <v>123456789</v>
      </c>
      <c r="J526" s="69" t="s">
        <v>887</v>
      </c>
    </row>
    <row r="527" spans="1:10" x14ac:dyDescent="0.3">
      <c r="A527" s="62">
        <v>45455</v>
      </c>
      <c r="B527" s="63" t="s">
        <v>1413</v>
      </c>
      <c r="C527" s="64">
        <v>123457314</v>
      </c>
      <c r="D527" s="70" t="s">
        <v>575</v>
      </c>
      <c r="E527" s="111" t="s">
        <v>868</v>
      </c>
      <c r="F527" s="66">
        <v>814</v>
      </c>
      <c r="G527" s="67">
        <v>31</v>
      </c>
      <c r="H527" s="67">
        <v>25234</v>
      </c>
      <c r="I527" s="68">
        <v>123456789</v>
      </c>
      <c r="J527" s="69" t="s">
        <v>887</v>
      </c>
    </row>
    <row r="528" spans="1:10" x14ac:dyDescent="0.3">
      <c r="A528" s="62">
        <v>45456</v>
      </c>
      <c r="B528" s="63" t="s">
        <v>1414</v>
      </c>
      <c r="C528" s="64">
        <v>123457315</v>
      </c>
      <c r="D528" s="65" t="s">
        <v>576</v>
      </c>
      <c r="E528" s="53" t="s">
        <v>868</v>
      </c>
      <c r="F528" s="66">
        <v>986</v>
      </c>
      <c r="G528" s="67">
        <v>25</v>
      </c>
      <c r="H528" s="67">
        <v>24650</v>
      </c>
      <c r="I528" s="68">
        <v>123456789</v>
      </c>
      <c r="J528" s="69" t="s">
        <v>887</v>
      </c>
    </row>
    <row r="529" spans="1:10" x14ac:dyDescent="0.3">
      <c r="A529" s="62">
        <v>45457</v>
      </c>
      <c r="B529" s="63" t="s">
        <v>1415</v>
      </c>
      <c r="C529" s="64">
        <v>123457316</v>
      </c>
      <c r="D529" s="70" t="s">
        <v>577</v>
      </c>
      <c r="E529" s="111" t="s">
        <v>868</v>
      </c>
      <c r="F529" s="66">
        <v>890</v>
      </c>
      <c r="G529" s="67">
        <v>29</v>
      </c>
      <c r="H529" s="67">
        <v>25810</v>
      </c>
      <c r="I529" s="68">
        <v>123456789</v>
      </c>
      <c r="J529" s="69" t="s">
        <v>887</v>
      </c>
    </row>
    <row r="530" spans="1:10" x14ac:dyDescent="0.3">
      <c r="A530" s="62">
        <v>45458</v>
      </c>
      <c r="B530" s="63" t="s">
        <v>1416</v>
      </c>
      <c r="C530" s="64">
        <v>123457317</v>
      </c>
      <c r="D530" s="65" t="s">
        <v>578</v>
      </c>
      <c r="E530" s="53" t="s">
        <v>868</v>
      </c>
      <c r="F530" s="66">
        <v>824</v>
      </c>
      <c r="G530" s="67">
        <v>29</v>
      </c>
      <c r="H530" s="67">
        <v>23896</v>
      </c>
      <c r="I530" s="68">
        <v>123456789</v>
      </c>
      <c r="J530" s="69" t="s">
        <v>887</v>
      </c>
    </row>
    <row r="531" spans="1:10" x14ac:dyDescent="0.3">
      <c r="A531" s="62">
        <v>45459</v>
      </c>
      <c r="B531" s="63" t="s">
        <v>1417</v>
      </c>
      <c r="C531" s="64">
        <v>123457318</v>
      </c>
      <c r="D531" s="70" t="s">
        <v>579</v>
      </c>
      <c r="E531" s="111" t="s">
        <v>869</v>
      </c>
      <c r="F531" s="66">
        <v>582</v>
      </c>
      <c r="G531" s="67">
        <v>29</v>
      </c>
      <c r="H531" s="67">
        <v>16878</v>
      </c>
      <c r="I531" s="68">
        <v>123456789</v>
      </c>
      <c r="J531" s="69" t="s">
        <v>887</v>
      </c>
    </row>
    <row r="532" spans="1:10" x14ac:dyDescent="0.3">
      <c r="A532" s="62">
        <v>45460</v>
      </c>
      <c r="B532" s="63" t="s">
        <v>1418</v>
      </c>
      <c r="C532" s="64">
        <v>123457319</v>
      </c>
      <c r="D532" s="65" t="s">
        <v>580</v>
      </c>
      <c r="E532" s="53" t="s">
        <v>869</v>
      </c>
      <c r="F532" s="66">
        <v>754</v>
      </c>
      <c r="G532" s="67">
        <v>22</v>
      </c>
      <c r="H532" s="67">
        <v>16588</v>
      </c>
      <c r="I532" s="68">
        <v>123456789</v>
      </c>
      <c r="J532" s="69" t="s">
        <v>889</v>
      </c>
    </row>
    <row r="533" spans="1:10" x14ac:dyDescent="0.3">
      <c r="A533" s="62">
        <v>45461</v>
      </c>
      <c r="B533" s="63" t="s">
        <v>1419</v>
      </c>
      <c r="C533" s="64">
        <v>123457320</v>
      </c>
      <c r="D533" s="70" t="s">
        <v>581</v>
      </c>
      <c r="E533" s="111" t="s">
        <v>868</v>
      </c>
      <c r="F533" s="66">
        <v>553</v>
      </c>
      <c r="G533" s="67">
        <v>24</v>
      </c>
      <c r="H533" s="67">
        <v>13272</v>
      </c>
      <c r="I533" s="68">
        <v>123456789</v>
      </c>
      <c r="J533" s="69" t="s">
        <v>887</v>
      </c>
    </row>
    <row r="534" spans="1:10" x14ac:dyDescent="0.3">
      <c r="A534" s="62">
        <v>45462</v>
      </c>
      <c r="B534" s="63" t="s">
        <v>1420</v>
      </c>
      <c r="C534" s="64">
        <v>123457321</v>
      </c>
      <c r="D534" s="65" t="s">
        <v>582</v>
      </c>
      <c r="E534" s="53" t="s">
        <v>868</v>
      </c>
      <c r="F534" s="66">
        <v>758</v>
      </c>
      <c r="G534" s="67">
        <v>25</v>
      </c>
      <c r="H534" s="67">
        <v>18950</v>
      </c>
      <c r="I534" s="68">
        <v>123456789</v>
      </c>
      <c r="J534" s="69" t="s">
        <v>887</v>
      </c>
    </row>
    <row r="535" spans="1:10" x14ac:dyDescent="0.3">
      <c r="A535" s="62">
        <v>45463</v>
      </c>
      <c r="B535" s="63" t="s">
        <v>1421</v>
      </c>
      <c r="C535" s="64">
        <v>123457322</v>
      </c>
      <c r="D535" s="70" t="s">
        <v>583</v>
      </c>
      <c r="E535" s="111" t="s">
        <v>868</v>
      </c>
      <c r="F535" s="66">
        <v>578</v>
      </c>
      <c r="G535" s="67">
        <v>23</v>
      </c>
      <c r="H535" s="67">
        <v>13294</v>
      </c>
      <c r="I535" s="68">
        <v>123456789</v>
      </c>
      <c r="J535" s="69" t="s">
        <v>887</v>
      </c>
    </row>
    <row r="536" spans="1:10" x14ac:dyDescent="0.3">
      <c r="A536" s="62">
        <v>45464</v>
      </c>
      <c r="B536" s="63" t="s">
        <v>1422</v>
      </c>
      <c r="C536" s="64">
        <v>123457323</v>
      </c>
      <c r="D536" s="65" t="s">
        <v>584</v>
      </c>
      <c r="E536" s="53" t="s">
        <v>868</v>
      </c>
      <c r="F536" s="66">
        <v>737</v>
      </c>
      <c r="G536" s="67">
        <v>24</v>
      </c>
      <c r="H536" s="67">
        <v>17688</v>
      </c>
      <c r="I536" s="68">
        <v>123456789</v>
      </c>
      <c r="J536" s="69" t="s">
        <v>887</v>
      </c>
    </row>
    <row r="537" spans="1:10" x14ac:dyDescent="0.3">
      <c r="A537" s="62">
        <v>45465</v>
      </c>
      <c r="B537" s="63" t="s">
        <v>1423</v>
      </c>
      <c r="C537" s="64">
        <v>123457324</v>
      </c>
      <c r="D537" s="70" t="s">
        <v>585</v>
      </c>
      <c r="E537" s="111" t="s">
        <v>869</v>
      </c>
      <c r="F537" s="66">
        <v>775</v>
      </c>
      <c r="G537" s="67">
        <v>26</v>
      </c>
      <c r="H537" s="67">
        <v>20150</v>
      </c>
      <c r="I537" s="68">
        <v>123456789</v>
      </c>
      <c r="J537" s="69" t="s">
        <v>889</v>
      </c>
    </row>
    <row r="538" spans="1:10" x14ac:dyDescent="0.3">
      <c r="A538" s="62">
        <v>45466</v>
      </c>
      <c r="B538" s="63" t="s">
        <v>1424</v>
      </c>
      <c r="C538" s="64">
        <v>123457325</v>
      </c>
      <c r="D538" s="65" t="s">
        <v>586</v>
      </c>
      <c r="E538" s="53" t="s">
        <v>868</v>
      </c>
      <c r="F538" s="66">
        <v>575</v>
      </c>
      <c r="G538" s="67">
        <v>25</v>
      </c>
      <c r="H538" s="67">
        <v>14375</v>
      </c>
      <c r="I538" s="68">
        <v>123456789</v>
      </c>
      <c r="J538" s="69" t="s">
        <v>889</v>
      </c>
    </row>
    <row r="539" spans="1:10" x14ac:dyDescent="0.3">
      <c r="A539" s="62">
        <v>45467</v>
      </c>
      <c r="B539" s="63" t="s">
        <v>1425</v>
      </c>
      <c r="C539" s="64">
        <v>123457326</v>
      </c>
      <c r="D539" s="70" t="s">
        <v>587</v>
      </c>
      <c r="E539" s="111" t="s">
        <v>868</v>
      </c>
      <c r="F539" s="66">
        <v>545</v>
      </c>
      <c r="G539" s="67">
        <v>29</v>
      </c>
      <c r="H539" s="67">
        <v>15805</v>
      </c>
      <c r="I539" s="68">
        <v>123456789</v>
      </c>
      <c r="J539" s="69" t="s">
        <v>887</v>
      </c>
    </row>
    <row r="540" spans="1:10" x14ac:dyDescent="0.3">
      <c r="A540" s="62">
        <v>45468</v>
      </c>
      <c r="B540" s="63" t="s">
        <v>1426</v>
      </c>
      <c r="C540" s="64">
        <v>123457327</v>
      </c>
      <c r="D540" s="65" t="s">
        <v>588</v>
      </c>
      <c r="E540" s="53" t="s">
        <v>868</v>
      </c>
      <c r="F540" s="66">
        <v>831</v>
      </c>
      <c r="G540" s="67">
        <v>24</v>
      </c>
      <c r="H540" s="67">
        <v>19944</v>
      </c>
      <c r="I540" s="68">
        <v>123456789</v>
      </c>
      <c r="J540" s="69" t="s">
        <v>887</v>
      </c>
    </row>
    <row r="541" spans="1:10" x14ac:dyDescent="0.3">
      <c r="A541" s="62">
        <v>45469</v>
      </c>
      <c r="B541" s="63" t="s">
        <v>1427</v>
      </c>
      <c r="C541" s="64">
        <v>123457328</v>
      </c>
      <c r="D541" s="70" t="s">
        <v>589</v>
      </c>
      <c r="E541" s="111" t="s">
        <v>869</v>
      </c>
      <c r="F541" s="66">
        <v>845</v>
      </c>
      <c r="G541" s="67">
        <v>22</v>
      </c>
      <c r="H541" s="67">
        <v>18590</v>
      </c>
      <c r="I541" s="68">
        <v>123456789</v>
      </c>
      <c r="J541" s="69" t="s">
        <v>887</v>
      </c>
    </row>
    <row r="542" spans="1:10" x14ac:dyDescent="0.3">
      <c r="A542" s="62">
        <v>45470</v>
      </c>
      <c r="B542" s="63" t="s">
        <v>1428</v>
      </c>
      <c r="C542" s="64">
        <v>123457329</v>
      </c>
      <c r="D542" s="65" t="s">
        <v>590</v>
      </c>
      <c r="E542" s="53" t="s">
        <v>868</v>
      </c>
      <c r="F542" s="66">
        <v>978</v>
      </c>
      <c r="G542" s="67">
        <v>28</v>
      </c>
      <c r="H542" s="67">
        <v>27384</v>
      </c>
      <c r="I542" s="68">
        <v>123456789</v>
      </c>
      <c r="J542" s="69" t="s">
        <v>887</v>
      </c>
    </row>
    <row r="543" spans="1:10" x14ac:dyDescent="0.3">
      <c r="A543" s="62">
        <v>45471</v>
      </c>
      <c r="B543" s="63" t="s">
        <v>1429</v>
      </c>
      <c r="C543" s="64">
        <v>123457330</v>
      </c>
      <c r="D543" s="70" t="s">
        <v>591</v>
      </c>
      <c r="E543" s="111" t="s">
        <v>868</v>
      </c>
      <c r="F543" s="66">
        <v>841</v>
      </c>
      <c r="G543" s="67">
        <v>22</v>
      </c>
      <c r="H543" s="67">
        <v>18502</v>
      </c>
      <c r="I543" s="68">
        <v>123456789</v>
      </c>
      <c r="J543" s="69" t="s">
        <v>887</v>
      </c>
    </row>
    <row r="544" spans="1:10" x14ac:dyDescent="0.3">
      <c r="A544" s="62">
        <v>45472</v>
      </c>
      <c r="B544" s="63" t="s">
        <v>1430</v>
      </c>
      <c r="C544" s="64">
        <v>123457331</v>
      </c>
      <c r="D544" s="65" t="s">
        <v>592</v>
      </c>
      <c r="E544" s="53" t="s">
        <v>868</v>
      </c>
      <c r="F544" s="66">
        <v>573</v>
      </c>
      <c r="G544" s="67">
        <v>29</v>
      </c>
      <c r="H544" s="67">
        <v>16617</v>
      </c>
      <c r="I544" s="68">
        <v>123456789</v>
      </c>
      <c r="J544" s="69" t="s">
        <v>887</v>
      </c>
    </row>
    <row r="545" spans="1:10" x14ac:dyDescent="0.3">
      <c r="A545" s="62">
        <v>45473</v>
      </c>
      <c r="B545" s="63" t="s">
        <v>1431</v>
      </c>
      <c r="C545" s="64">
        <v>123457332</v>
      </c>
      <c r="D545" s="70" t="s">
        <v>593</v>
      </c>
      <c r="E545" s="111" t="s">
        <v>868</v>
      </c>
      <c r="F545" s="66">
        <v>780</v>
      </c>
      <c r="G545" s="67">
        <v>23</v>
      </c>
      <c r="H545" s="67">
        <v>17940</v>
      </c>
      <c r="I545" s="68">
        <v>123456789</v>
      </c>
      <c r="J545" s="69" t="s">
        <v>887</v>
      </c>
    </row>
    <row r="546" spans="1:10" x14ac:dyDescent="0.3">
      <c r="A546" s="62">
        <v>45474</v>
      </c>
      <c r="B546" s="63" t="s">
        <v>1432</v>
      </c>
      <c r="C546" s="64">
        <v>123457333</v>
      </c>
      <c r="D546" s="65" t="s">
        <v>594</v>
      </c>
      <c r="E546" s="53" t="s">
        <v>868</v>
      </c>
      <c r="F546" s="66">
        <v>884</v>
      </c>
      <c r="G546" s="67">
        <v>26</v>
      </c>
      <c r="H546" s="67">
        <v>22984</v>
      </c>
      <c r="I546" s="68">
        <v>123456789</v>
      </c>
      <c r="J546" s="69" t="s">
        <v>887</v>
      </c>
    </row>
    <row r="547" spans="1:10" x14ac:dyDescent="0.3">
      <c r="A547" s="62">
        <v>45475</v>
      </c>
      <c r="B547" s="63" t="s">
        <v>1433</v>
      </c>
      <c r="C547" s="64">
        <v>123457334</v>
      </c>
      <c r="D547" s="70" t="s">
        <v>595</v>
      </c>
      <c r="E547" s="111" t="s">
        <v>868</v>
      </c>
      <c r="F547" s="66">
        <v>664</v>
      </c>
      <c r="G547" s="67">
        <v>23</v>
      </c>
      <c r="H547" s="67">
        <v>15272</v>
      </c>
      <c r="I547" s="68">
        <v>123456789</v>
      </c>
      <c r="J547" s="69" t="s">
        <v>889</v>
      </c>
    </row>
    <row r="548" spans="1:10" x14ac:dyDescent="0.3">
      <c r="A548" s="62">
        <v>45476</v>
      </c>
      <c r="B548" s="63" t="s">
        <v>1434</v>
      </c>
      <c r="C548" s="64">
        <v>123457335</v>
      </c>
      <c r="D548" s="65" t="s">
        <v>596</v>
      </c>
      <c r="E548" s="53" t="s">
        <v>869</v>
      </c>
      <c r="F548" s="66">
        <v>777</v>
      </c>
      <c r="G548" s="67">
        <v>23</v>
      </c>
      <c r="H548" s="67">
        <v>17871</v>
      </c>
      <c r="I548" s="68">
        <v>123456789</v>
      </c>
      <c r="J548" s="69" t="s">
        <v>887</v>
      </c>
    </row>
    <row r="549" spans="1:10" x14ac:dyDescent="0.3">
      <c r="A549" s="62">
        <v>45477</v>
      </c>
      <c r="B549" s="63" t="s">
        <v>1435</v>
      </c>
      <c r="C549" s="64">
        <v>123457336</v>
      </c>
      <c r="D549" s="70" t="s">
        <v>597</v>
      </c>
      <c r="E549" s="111" t="s">
        <v>868</v>
      </c>
      <c r="F549" s="66">
        <v>627</v>
      </c>
      <c r="G549" s="67">
        <v>25</v>
      </c>
      <c r="H549" s="67">
        <v>15675</v>
      </c>
      <c r="I549" s="68">
        <v>123456789</v>
      </c>
      <c r="J549" s="69" t="s">
        <v>887</v>
      </c>
    </row>
    <row r="550" spans="1:10" x14ac:dyDescent="0.3">
      <c r="A550" s="62">
        <v>45478</v>
      </c>
      <c r="B550" s="63" t="s">
        <v>1436</v>
      </c>
      <c r="C550" s="64">
        <v>123457337</v>
      </c>
      <c r="D550" s="65" t="s">
        <v>598</v>
      </c>
      <c r="E550" s="53" t="s">
        <v>868</v>
      </c>
      <c r="F550" s="66">
        <v>633</v>
      </c>
      <c r="G550" s="67">
        <v>23</v>
      </c>
      <c r="H550" s="67">
        <v>14559</v>
      </c>
      <c r="I550" s="68">
        <v>123456789</v>
      </c>
      <c r="J550" s="69" t="s">
        <v>889</v>
      </c>
    </row>
    <row r="551" spans="1:10" x14ac:dyDescent="0.3">
      <c r="A551" s="62">
        <v>45479</v>
      </c>
      <c r="B551" s="63" t="s">
        <v>1437</v>
      </c>
      <c r="C551" s="64">
        <v>123457338</v>
      </c>
      <c r="D551" s="70" t="s">
        <v>599</v>
      </c>
      <c r="E551" s="111" t="s">
        <v>868</v>
      </c>
      <c r="F551" s="66">
        <v>594</v>
      </c>
      <c r="G551" s="67">
        <v>25</v>
      </c>
      <c r="H551" s="67">
        <v>14850</v>
      </c>
      <c r="I551" s="68">
        <v>123456789</v>
      </c>
      <c r="J551" s="69" t="s">
        <v>889</v>
      </c>
    </row>
    <row r="552" spans="1:10" x14ac:dyDescent="0.3">
      <c r="A552" s="62">
        <v>45480</v>
      </c>
      <c r="B552" s="63" t="s">
        <v>1438</v>
      </c>
      <c r="C552" s="64">
        <v>123457339</v>
      </c>
      <c r="D552" s="65" t="s">
        <v>600</v>
      </c>
      <c r="E552" s="53" t="s">
        <v>868</v>
      </c>
      <c r="F552" s="66">
        <v>863</v>
      </c>
      <c r="G552" s="67">
        <v>22</v>
      </c>
      <c r="H552" s="67">
        <v>18986</v>
      </c>
      <c r="I552" s="68">
        <v>123456789</v>
      </c>
      <c r="J552" s="69" t="s">
        <v>887</v>
      </c>
    </row>
    <row r="553" spans="1:10" x14ac:dyDescent="0.3">
      <c r="A553" s="62">
        <v>45481</v>
      </c>
      <c r="B553" s="63" t="s">
        <v>1439</v>
      </c>
      <c r="C553" s="64">
        <v>123457340</v>
      </c>
      <c r="D553" s="70" t="s">
        <v>601</v>
      </c>
      <c r="E553" s="111" t="s">
        <v>869</v>
      </c>
      <c r="F553" s="66">
        <v>866</v>
      </c>
      <c r="G553" s="67">
        <v>29</v>
      </c>
      <c r="H553" s="67">
        <v>25114</v>
      </c>
      <c r="I553" s="68">
        <v>123456789</v>
      </c>
      <c r="J553" s="69" t="s">
        <v>887</v>
      </c>
    </row>
    <row r="554" spans="1:10" x14ac:dyDescent="0.3">
      <c r="A554" s="62">
        <v>45482</v>
      </c>
      <c r="B554" s="63" t="s">
        <v>1440</v>
      </c>
      <c r="C554" s="64">
        <v>123457341</v>
      </c>
      <c r="D554" s="65" t="s">
        <v>602</v>
      </c>
      <c r="E554" s="53" t="s">
        <v>868</v>
      </c>
      <c r="F554" s="66">
        <v>727</v>
      </c>
      <c r="G554" s="67">
        <v>21</v>
      </c>
      <c r="H554" s="67">
        <v>15267</v>
      </c>
      <c r="I554" s="68">
        <v>123456789</v>
      </c>
      <c r="J554" s="69" t="s">
        <v>889</v>
      </c>
    </row>
    <row r="555" spans="1:10" x14ac:dyDescent="0.3">
      <c r="A555" s="62">
        <v>45483</v>
      </c>
      <c r="B555" s="63" t="s">
        <v>1441</v>
      </c>
      <c r="C555" s="64">
        <v>123457342</v>
      </c>
      <c r="D555" s="70" t="s">
        <v>603</v>
      </c>
      <c r="E555" s="111" t="s">
        <v>868</v>
      </c>
      <c r="F555" s="66">
        <v>946</v>
      </c>
      <c r="G555" s="67">
        <v>24</v>
      </c>
      <c r="H555" s="67">
        <v>22704</v>
      </c>
      <c r="I555" s="68">
        <v>123456789</v>
      </c>
      <c r="J555" s="69" t="s">
        <v>887</v>
      </c>
    </row>
    <row r="556" spans="1:10" x14ac:dyDescent="0.3">
      <c r="A556" s="62">
        <v>45484</v>
      </c>
      <c r="B556" s="63" t="s">
        <v>1442</v>
      </c>
      <c r="C556" s="64">
        <v>123457343</v>
      </c>
      <c r="D556" s="65" t="s">
        <v>604</v>
      </c>
      <c r="E556" s="53" t="s">
        <v>869</v>
      </c>
      <c r="F556" s="66">
        <v>643</v>
      </c>
      <c r="G556" s="67">
        <v>29</v>
      </c>
      <c r="H556" s="67">
        <v>18647</v>
      </c>
      <c r="I556" s="68">
        <v>123456789</v>
      </c>
      <c r="J556" s="69" t="s">
        <v>887</v>
      </c>
    </row>
    <row r="557" spans="1:10" x14ac:dyDescent="0.3">
      <c r="A557" s="62">
        <v>45485</v>
      </c>
      <c r="B557" s="63" t="s">
        <v>1443</v>
      </c>
      <c r="C557" s="64">
        <v>123457344</v>
      </c>
      <c r="D557" s="70" t="s">
        <v>605</v>
      </c>
      <c r="E557" s="111" t="s">
        <v>868</v>
      </c>
      <c r="F557" s="66">
        <v>891</v>
      </c>
      <c r="G557" s="67">
        <v>22</v>
      </c>
      <c r="H557" s="67">
        <v>19602</v>
      </c>
      <c r="I557" s="68">
        <v>123456789</v>
      </c>
      <c r="J557" s="69" t="s">
        <v>887</v>
      </c>
    </row>
    <row r="558" spans="1:10" x14ac:dyDescent="0.3">
      <c r="A558" s="62">
        <v>45486</v>
      </c>
      <c r="B558" s="63" t="s">
        <v>1444</v>
      </c>
      <c r="C558" s="64">
        <v>123457345</v>
      </c>
      <c r="D558" s="65" t="s">
        <v>606</v>
      </c>
      <c r="E558" s="53" t="s">
        <v>868</v>
      </c>
      <c r="F558" s="66">
        <v>572</v>
      </c>
      <c r="G558" s="67">
        <v>25</v>
      </c>
      <c r="H558" s="67">
        <v>14300</v>
      </c>
      <c r="I558" s="68">
        <v>123456789</v>
      </c>
      <c r="J558" s="69" t="s">
        <v>887</v>
      </c>
    </row>
    <row r="559" spans="1:10" x14ac:dyDescent="0.3">
      <c r="A559" s="62">
        <v>45487</v>
      </c>
      <c r="B559" s="63" t="s">
        <v>1445</v>
      </c>
      <c r="C559" s="64">
        <v>123457346</v>
      </c>
      <c r="D559" s="70" t="s">
        <v>607</v>
      </c>
      <c r="E559" s="111" t="s">
        <v>868</v>
      </c>
      <c r="F559" s="66">
        <v>515</v>
      </c>
      <c r="G559" s="67">
        <v>30</v>
      </c>
      <c r="H559" s="67">
        <v>15450</v>
      </c>
      <c r="I559" s="68">
        <v>123456789</v>
      </c>
      <c r="J559" s="69" t="s">
        <v>887</v>
      </c>
    </row>
    <row r="560" spans="1:10" x14ac:dyDescent="0.3">
      <c r="A560" s="62">
        <v>45488</v>
      </c>
      <c r="B560" s="63" t="s">
        <v>1446</v>
      </c>
      <c r="C560" s="64">
        <v>123457347</v>
      </c>
      <c r="D560" s="65" t="s">
        <v>608</v>
      </c>
      <c r="E560" s="53" t="s">
        <v>868</v>
      </c>
      <c r="F560" s="66">
        <v>760</v>
      </c>
      <c r="G560" s="67">
        <v>28</v>
      </c>
      <c r="H560" s="67">
        <v>21280</v>
      </c>
      <c r="I560" s="68">
        <v>123456789</v>
      </c>
      <c r="J560" s="69" t="s">
        <v>887</v>
      </c>
    </row>
    <row r="561" spans="1:10" x14ac:dyDescent="0.3">
      <c r="A561" s="62">
        <v>45489</v>
      </c>
      <c r="B561" s="63" t="s">
        <v>1447</v>
      </c>
      <c r="C561" s="64">
        <v>123457348</v>
      </c>
      <c r="D561" s="70" t="s">
        <v>609</v>
      </c>
      <c r="E561" s="111" t="s">
        <v>868</v>
      </c>
      <c r="F561" s="66">
        <v>828</v>
      </c>
      <c r="G561" s="67">
        <v>25</v>
      </c>
      <c r="H561" s="67">
        <v>20700</v>
      </c>
      <c r="I561" s="68">
        <v>123456789</v>
      </c>
      <c r="J561" s="69" t="s">
        <v>887</v>
      </c>
    </row>
    <row r="562" spans="1:10" x14ac:dyDescent="0.3">
      <c r="A562" s="62">
        <v>45490</v>
      </c>
      <c r="B562" s="63" t="s">
        <v>1448</v>
      </c>
      <c r="C562" s="64">
        <v>123457349</v>
      </c>
      <c r="D562" s="65" t="s">
        <v>610</v>
      </c>
      <c r="E562" s="53" t="s">
        <v>868</v>
      </c>
      <c r="F562" s="66">
        <v>612</v>
      </c>
      <c r="G562" s="67">
        <v>21</v>
      </c>
      <c r="H562" s="67">
        <v>12852</v>
      </c>
      <c r="I562" s="68">
        <v>123456789</v>
      </c>
      <c r="J562" s="69" t="s">
        <v>887</v>
      </c>
    </row>
    <row r="563" spans="1:10" x14ac:dyDescent="0.3">
      <c r="A563" s="62">
        <v>45491</v>
      </c>
      <c r="B563" s="63" t="s">
        <v>1449</v>
      </c>
      <c r="C563" s="64">
        <v>123457350</v>
      </c>
      <c r="D563" s="70" t="s">
        <v>611</v>
      </c>
      <c r="E563" s="111" t="s">
        <v>868</v>
      </c>
      <c r="F563" s="66">
        <v>934</v>
      </c>
      <c r="G563" s="67">
        <v>26</v>
      </c>
      <c r="H563" s="67">
        <v>24284</v>
      </c>
      <c r="I563" s="68">
        <v>123456789</v>
      </c>
      <c r="J563" s="69" t="s">
        <v>887</v>
      </c>
    </row>
    <row r="564" spans="1:10" x14ac:dyDescent="0.3">
      <c r="A564" s="62">
        <v>45492</v>
      </c>
      <c r="B564" s="63" t="s">
        <v>1450</v>
      </c>
      <c r="C564" s="64">
        <v>123457351</v>
      </c>
      <c r="D564" s="65" t="s">
        <v>612</v>
      </c>
      <c r="E564" s="53" t="s">
        <v>869</v>
      </c>
      <c r="F564" s="66">
        <v>788</v>
      </c>
      <c r="G564" s="67">
        <v>21</v>
      </c>
      <c r="H564" s="67">
        <v>16548</v>
      </c>
      <c r="I564" s="68">
        <v>123456789</v>
      </c>
      <c r="J564" s="69" t="s">
        <v>887</v>
      </c>
    </row>
    <row r="565" spans="1:10" x14ac:dyDescent="0.3">
      <c r="A565" s="62">
        <v>45493</v>
      </c>
      <c r="B565" s="63" t="s">
        <v>1451</v>
      </c>
      <c r="C565" s="64">
        <v>123457352</v>
      </c>
      <c r="D565" s="70" t="s">
        <v>613</v>
      </c>
      <c r="E565" s="111" t="s">
        <v>868</v>
      </c>
      <c r="F565" s="66">
        <v>686</v>
      </c>
      <c r="G565" s="67">
        <v>26</v>
      </c>
      <c r="H565" s="67">
        <v>17836</v>
      </c>
      <c r="I565" s="68">
        <v>123456789</v>
      </c>
      <c r="J565" s="69" t="s">
        <v>889</v>
      </c>
    </row>
    <row r="566" spans="1:10" x14ac:dyDescent="0.3">
      <c r="A566" s="62">
        <v>45494</v>
      </c>
      <c r="B566" s="63" t="s">
        <v>1452</v>
      </c>
      <c r="C566" s="64">
        <v>123457353</v>
      </c>
      <c r="D566" s="65" t="s">
        <v>614</v>
      </c>
      <c r="E566" s="53" t="s">
        <v>869</v>
      </c>
      <c r="F566" s="66">
        <v>704</v>
      </c>
      <c r="G566" s="67">
        <v>22</v>
      </c>
      <c r="H566" s="67">
        <v>15488</v>
      </c>
      <c r="I566" s="68">
        <v>123456789</v>
      </c>
      <c r="J566" s="69" t="s">
        <v>887</v>
      </c>
    </row>
    <row r="567" spans="1:10" x14ac:dyDescent="0.3">
      <c r="A567" s="62">
        <v>45495</v>
      </c>
      <c r="B567" s="63" t="s">
        <v>1453</v>
      </c>
      <c r="C567" s="64">
        <v>123457354</v>
      </c>
      <c r="D567" s="70" t="s">
        <v>615</v>
      </c>
      <c r="E567" s="111" t="s">
        <v>868</v>
      </c>
      <c r="F567" s="66">
        <v>966</v>
      </c>
      <c r="G567" s="67">
        <v>31</v>
      </c>
      <c r="H567" s="67">
        <v>29946</v>
      </c>
      <c r="I567" s="68">
        <v>123456789</v>
      </c>
      <c r="J567" s="69" t="s">
        <v>887</v>
      </c>
    </row>
    <row r="568" spans="1:10" x14ac:dyDescent="0.3">
      <c r="A568" s="62">
        <v>45496</v>
      </c>
      <c r="B568" s="63" t="s">
        <v>1454</v>
      </c>
      <c r="C568" s="64">
        <v>123457355</v>
      </c>
      <c r="D568" s="65" t="s">
        <v>616</v>
      </c>
      <c r="E568" s="53" t="s">
        <v>868</v>
      </c>
      <c r="F568" s="66">
        <v>986</v>
      </c>
      <c r="G568" s="67">
        <v>26</v>
      </c>
      <c r="H568" s="67">
        <v>25636</v>
      </c>
      <c r="I568" s="68">
        <v>123456789</v>
      </c>
      <c r="J568" s="69" t="s">
        <v>887</v>
      </c>
    </row>
    <row r="569" spans="1:10" x14ac:dyDescent="0.3">
      <c r="A569" s="62">
        <v>45497</v>
      </c>
      <c r="B569" s="63" t="s">
        <v>1455</v>
      </c>
      <c r="C569" s="64">
        <v>123457356</v>
      </c>
      <c r="D569" s="70" t="s">
        <v>617</v>
      </c>
      <c r="E569" s="111" t="s">
        <v>868</v>
      </c>
      <c r="F569" s="66">
        <v>794</v>
      </c>
      <c r="G569" s="67">
        <v>26</v>
      </c>
      <c r="H569" s="67">
        <v>20644</v>
      </c>
      <c r="I569" s="68">
        <v>123456789</v>
      </c>
      <c r="J569" s="69" t="s">
        <v>887</v>
      </c>
    </row>
    <row r="570" spans="1:10" x14ac:dyDescent="0.3">
      <c r="A570" s="62">
        <v>45498</v>
      </c>
      <c r="B570" s="63" t="s">
        <v>1456</v>
      </c>
      <c r="C570" s="64">
        <v>123457357</v>
      </c>
      <c r="D570" s="65" t="s">
        <v>618</v>
      </c>
      <c r="E570" s="53" t="s">
        <v>868</v>
      </c>
      <c r="F570" s="66">
        <v>686</v>
      </c>
      <c r="G570" s="67">
        <v>21</v>
      </c>
      <c r="H570" s="67">
        <v>14406</v>
      </c>
      <c r="I570" s="68">
        <v>123456789</v>
      </c>
      <c r="J570" s="69" t="s">
        <v>887</v>
      </c>
    </row>
    <row r="571" spans="1:10" x14ac:dyDescent="0.3">
      <c r="A571" s="62">
        <v>45499</v>
      </c>
      <c r="B571" s="63" t="s">
        <v>1457</v>
      </c>
      <c r="C571" s="64">
        <v>123457358</v>
      </c>
      <c r="D571" s="70" t="s">
        <v>619</v>
      </c>
      <c r="E571" s="111" t="s">
        <v>868</v>
      </c>
      <c r="F571" s="66">
        <v>966</v>
      </c>
      <c r="G571" s="67">
        <v>31</v>
      </c>
      <c r="H571" s="67">
        <v>29946</v>
      </c>
      <c r="I571" s="68">
        <v>123456789</v>
      </c>
      <c r="J571" s="69" t="s">
        <v>887</v>
      </c>
    </row>
    <row r="572" spans="1:10" x14ac:dyDescent="0.3">
      <c r="A572" s="62">
        <v>45500</v>
      </c>
      <c r="B572" s="63" t="s">
        <v>1458</v>
      </c>
      <c r="C572" s="64">
        <v>123457359</v>
      </c>
      <c r="D572" s="65" t="s">
        <v>620</v>
      </c>
      <c r="E572" s="53" t="s">
        <v>868</v>
      </c>
      <c r="F572" s="66">
        <v>874</v>
      </c>
      <c r="G572" s="67">
        <v>29</v>
      </c>
      <c r="H572" s="67">
        <v>25346</v>
      </c>
      <c r="I572" s="68">
        <v>123456789</v>
      </c>
      <c r="J572" s="69" t="s">
        <v>887</v>
      </c>
    </row>
    <row r="573" spans="1:10" x14ac:dyDescent="0.3">
      <c r="A573" s="62">
        <v>45501</v>
      </c>
      <c r="B573" s="63" t="s">
        <v>1459</v>
      </c>
      <c r="C573" s="64">
        <v>123457360</v>
      </c>
      <c r="D573" s="70" t="s">
        <v>621</v>
      </c>
      <c r="E573" s="111" t="s">
        <v>868</v>
      </c>
      <c r="F573" s="66">
        <v>981</v>
      </c>
      <c r="G573" s="67">
        <v>26</v>
      </c>
      <c r="H573" s="67">
        <v>25506</v>
      </c>
      <c r="I573" s="68">
        <v>123456789</v>
      </c>
      <c r="J573" s="69" t="s">
        <v>887</v>
      </c>
    </row>
    <row r="574" spans="1:10" x14ac:dyDescent="0.3">
      <c r="A574" s="62">
        <v>45502</v>
      </c>
      <c r="B574" s="63" t="s">
        <v>1460</v>
      </c>
      <c r="C574" s="64">
        <v>123457361</v>
      </c>
      <c r="D574" s="65" t="s">
        <v>622</v>
      </c>
      <c r="E574" s="53" t="s">
        <v>868</v>
      </c>
      <c r="F574" s="66">
        <v>581</v>
      </c>
      <c r="G574" s="67">
        <v>24</v>
      </c>
      <c r="H574" s="67">
        <v>13944</v>
      </c>
      <c r="I574" s="68">
        <v>123456789</v>
      </c>
      <c r="J574" s="69" t="s">
        <v>889</v>
      </c>
    </row>
    <row r="575" spans="1:10" x14ac:dyDescent="0.3">
      <c r="A575" s="62">
        <v>45503</v>
      </c>
      <c r="B575" s="63" t="s">
        <v>1461</v>
      </c>
      <c r="C575" s="64">
        <v>123457362</v>
      </c>
      <c r="D575" s="70" t="s">
        <v>623</v>
      </c>
      <c r="E575" s="111" t="s">
        <v>868</v>
      </c>
      <c r="F575" s="66">
        <v>696</v>
      </c>
      <c r="G575" s="67">
        <v>25</v>
      </c>
      <c r="H575" s="67">
        <v>17400</v>
      </c>
      <c r="I575" s="68">
        <v>123456789</v>
      </c>
      <c r="J575" s="69" t="s">
        <v>887</v>
      </c>
    </row>
    <row r="576" spans="1:10" x14ac:dyDescent="0.3">
      <c r="A576" s="62">
        <v>45504</v>
      </c>
      <c r="B576" s="63" t="s">
        <v>1462</v>
      </c>
      <c r="C576" s="64">
        <v>123457363</v>
      </c>
      <c r="D576" s="65" t="s">
        <v>624</v>
      </c>
      <c r="E576" s="53" t="s">
        <v>868</v>
      </c>
      <c r="F576" s="66">
        <v>511</v>
      </c>
      <c r="G576" s="67">
        <v>21</v>
      </c>
      <c r="H576" s="67">
        <v>10731</v>
      </c>
      <c r="I576" s="68">
        <v>123456789</v>
      </c>
      <c r="J576" s="69" t="s">
        <v>887</v>
      </c>
    </row>
    <row r="577" spans="1:10" x14ac:dyDescent="0.3">
      <c r="A577" s="62">
        <v>45505</v>
      </c>
      <c r="B577" s="63" t="s">
        <v>1463</v>
      </c>
      <c r="C577" s="64">
        <v>123457364</v>
      </c>
      <c r="D577" s="70" t="s">
        <v>625</v>
      </c>
      <c r="E577" s="111" t="s">
        <v>869</v>
      </c>
      <c r="F577" s="66">
        <v>656</v>
      </c>
      <c r="G577" s="67">
        <v>26</v>
      </c>
      <c r="H577" s="67">
        <v>17056</v>
      </c>
      <c r="I577" s="68">
        <v>123456789</v>
      </c>
      <c r="J577" s="69" t="s">
        <v>889</v>
      </c>
    </row>
    <row r="578" spans="1:10" x14ac:dyDescent="0.3">
      <c r="A578" s="62">
        <v>45506</v>
      </c>
      <c r="B578" s="63" t="s">
        <v>1464</v>
      </c>
      <c r="C578" s="64">
        <v>123457365</v>
      </c>
      <c r="D578" s="65" t="s">
        <v>626</v>
      </c>
      <c r="E578" s="53" t="s">
        <v>868</v>
      </c>
      <c r="F578" s="66">
        <v>968</v>
      </c>
      <c r="G578" s="67">
        <v>28</v>
      </c>
      <c r="H578" s="67">
        <v>27104</v>
      </c>
      <c r="I578" s="68">
        <v>123456789</v>
      </c>
      <c r="J578" s="69" t="s">
        <v>887</v>
      </c>
    </row>
    <row r="579" spans="1:10" x14ac:dyDescent="0.3">
      <c r="A579" s="62">
        <v>45507</v>
      </c>
      <c r="B579" s="63" t="s">
        <v>1465</v>
      </c>
      <c r="C579" s="64">
        <v>123457366</v>
      </c>
      <c r="D579" s="70" t="s">
        <v>627</v>
      </c>
      <c r="E579" s="111" t="s">
        <v>868</v>
      </c>
      <c r="F579" s="66">
        <v>921</v>
      </c>
      <c r="G579" s="67">
        <v>29</v>
      </c>
      <c r="H579" s="67">
        <v>26709</v>
      </c>
      <c r="I579" s="68">
        <v>123456789</v>
      </c>
      <c r="J579" s="69" t="s">
        <v>887</v>
      </c>
    </row>
    <row r="580" spans="1:10" x14ac:dyDescent="0.3">
      <c r="A580" s="62">
        <v>45508</v>
      </c>
      <c r="B580" s="63" t="s">
        <v>1466</v>
      </c>
      <c r="C580" s="64">
        <v>123457367</v>
      </c>
      <c r="D580" s="65" t="s">
        <v>628</v>
      </c>
      <c r="E580" s="53" t="s">
        <v>868</v>
      </c>
      <c r="F580" s="66">
        <v>805</v>
      </c>
      <c r="G580" s="67">
        <v>31</v>
      </c>
      <c r="H580" s="67">
        <v>24955</v>
      </c>
      <c r="I580" s="68">
        <v>123456789</v>
      </c>
      <c r="J580" s="69" t="s">
        <v>887</v>
      </c>
    </row>
    <row r="581" spans="1:10" x14ac:dyDescent="0.3">
      <c r="A581" s="62">
        <v>45509</v>
      </c>
      <c r="B581" s="63" t="s">
        <v>1467</v>
      </c>
      <c r="C581" s="64">
        <v>123457368</v>
      </c>
      <c r="D581" s="70" t="s">
        <v>629</v>
      </c>
      <c r="E581" s="111" t="s">
        <v>868</v>
      </c>
      <c r="F581" s="66">
        <v>536</v>
      </c>
      <c r="G581" s="67">
        <v>21</v>
      </c>
      <c r="H581" s="67">
        <v>11256</v>
      </c>
      <c r="I581" s="68">
        <v>123456789</v>
      </c>
      <c r="J581" s="69" t="s">
        <v>887</v>
      </c>
    </row>
    <row r="582" spans="1:10" x14ac:dyDescent="0.3">
      <c r="A582" s="62">
        <v>45510</v>
      </c>
      <c r="B582" s="63" t="s">
        <v>1468</v>
      </c>
      <c r="C582" s="64">
        <v>123457369</v>
      </c>
      <c r="D582" s="65" t="s">
        <v>630</v>
      </c>
      <c r="E582" s="53" t="s">
        <v>869</v>
      </c>
      <c r="F582" s="66">
        <v>973</v>
      </c>
      <c r="G582" s="67">
        <v>24</v>
      </c>
      <c r="H582" s="67">
        <v>23352</v>
      </c>
      <c r="I582" s="68">
        <v>123456789</v>
      </c>
      <c r="J582" s="69" t="s">
        <v>887</v>
      </c>
    </row>
    <row r="583" spans="1:10" x14ac:dyDescent="0.3">
      <c r="A583" s="62">
        <v>45511</v>
      </c>
      <c r="B583" s="63" t="s">
        <v>1469</v>
      </c>
      <c r="C583" s="64">
        <v>123457370</v>
      </c>
      <c r="D583" s="70" t="s">
        <v>631</v>
      </c>
      <c r="E583" s="111" t="s">
        <v>869</v>
      </c>
      <c r="F583" s="66">
        <v>666</v>
      </c>
      <c r="G583" s="67">
        <v>24</v>
      </c>
      <c r="H583" s="67">
        <v>15984</v>
      </c>
      <c r="I583" s="68">
        <v>123456789</v>
      </c>
      <c r="J583" s="69" t="s">
        <v>887</v>
      </c>
    </row>
    <row r="584" spans="1:10" x14ac:dyDescent="0.3">
      <c r="A584" s="62">
        <v>45512</v>
      </c>
      <c r="B584" s="63" t="s">
        <v>1470</v>
      </c>
      <c r="C584" s="64">
        <v>123457371</v>
      </c>
      <c r="D584" s="65" t="s">
        <v>632</v>
      </c>
      <c r="E584" s="53" t="s">
        <v>869</v>
      </c>
      <c r="F584" s="66">
        <v>976</v>
      </c>
      <c r="G584" s="67">
        <v>25</v>
      </c>
      <c r="H584" s="67">
        <v>24400</v>
      </c>
      <c r="I584" s="68">
        <v>123456789</v>
      </c>
      <c r="J584" s="69" t="s">
        <v>887</v>
      </c>
    </row>
    <row r="585" spans="1:10" x14ac:dyDescent="0.3">
      <c r="A585" s="62">
        <v>45513</v>
      </c>
      <c r="B585" s="63" t="s">
        <v>1471</v>
      </c>
      <c r="C585" s="64">
        <v>123457372</v>
      </c>
      <c r="D585" s="70" t="s">
        <v>633</v>
      </c>
      <c r="E585" s="111" t="s">
        <v>869</v>
      </c>
      <c r="F585" s="66">
        <v>707</v>
      </c>
      <c r="G585" s="67">
        <v>23</v>
      </c>
      <c r="H585" s="67">
        <v>16261</v>
      </c>
      <c r="I585" s="68">
        <v>123456789</v>
      </c>
      <c r="J585" s="69" t="s">
        <v>889</v>
      </c>
    </row>
    <row r="586" spans="1:10" x14ac:dyDescent="0.3">
      <c r="A586" s="62">
        <v>45514</v>
      </c>
      <c r="B586" s="63" t="s">
        <v>1472</v>
      </c>
      <c r="C586" s="64">
        <v>123457373</v>
      </c>
      <c r="D586" s="65" t="s">
        <v>634</v>
      </c>
      <c r="E586" s="53" t="s">
        <v>869</v>
      </c>
      <c r="F586" s="66">
        <v>728</v>
      </c>
      <c r="G586" s="67">
        <v>22</v>
      </c>
      <c r="H586" s="67">
        <v>16016</v>
      </c>
      <c r="I586" s="68">
        <v>123456789</v>
      </c>
      <c r="J586" s="69" t="s">
        <v>889</v>
      </c>
    </row>
    <row r="587" spans="1:10" x14ac:dyDescent="0.3">
      <c r="A587" s="62">
        <v>45515</v>
      </c>
      <c r="B587" s="63" t="s">
        <v>1473</v>
      </c>
      <c r="C587" s="64">
        <v>123457374</v>
      </c>
      <c r="D587" s="70" t="s">
        <v>635</v>
      </c>
      <c r="E587" s="111" t="s">
        <v>868</v>
      </c>
      <c r="F587" s="66">
        <v>816</v>
      </c>
      <c r="G587" s="67">
        <v>21</v>
      </c>
      <c r="H587" s="67">
        <v>17136</v>
      </c>
      <c r="I587" s="68">
        <v>123456789</v>
      </c>
      <c r="J587" s="69" t="s">
        <v>887</v>
      </c>
    </row>
    <row r="588" spans="1:10" x14ac:dyDescent="0.3">
      <c r="A588" s="62">
        <v>45516</v>
      </c>
      <c r="B588" s="63" t="s">
        <v>1474</v>
      </c>
      <c r="C588" s="64">
        <v>123457375</v>
      </c>
      <c r="D588" s="65" t="s">
        <v>636</v>
      </c>
      <c r="E588" s="53" t="s">
        <v>868</v>
      </c>
      <c r="F588" s="66">
        <v>617</v>
      </c>
      <c r="G588" s="67">
        <v>23</v>
      </c>
      <c r="H588" s="67">
        <v>14191</v>
      </c>
      <c r="I588" s="68">
        <v>123456789</v>
      </c>
      <c r="J588" s="69" t="s">
        <v>887</v>
      </c>
    </row>
    <row r="589" spans="1:10" x14ac:dyDescent="0.3">
      <c r="A589" s="62">
        <v>45517</v>
      </c>
      <c r="B589" s="63" t="s">
        <v>1475</v>
      </c>
      <c r="C589" s="64">
        <v>123457376</v>
      </c>
      <c r="D589" s="70" t="s">
        <v>637</v>
      </c>
      <c r="E589" s="111" t="s">
        <v>869</v>
      </c>
      <c r="F589" s="66">
        <v>585</v>
      </c>
      <c r="G589" s="67">
        <v>23</v>
      </c>
      <c r="H589" s="67">
        <v>13455</v>
      </c>
      <c r="I589" s="68">
        <v>123456789</v>
      </c>
      <c r="J589" s="69" t="s">
        <v>887</v>
      </c>
    </row>
    <row r="590" spans="1:10" x14ac:dyDescent="0.3">
      <c r="A590" s="62">
        <v>45518</v>
      </c>
      <c r="B590" s="63" t="s">
        <v>1476</v>
      </c>
      <c r="C590" s="64">
        <v>123457377</v>
      </c>
      <c r="D590" s="65" t="s">
        <v>638</v>
      </c>
      <c r="E590" s="53" t="s">
        <v>869</v>
      </c>
      <c r="F590" s="66">
        <v>695</v>
      </c>
      <c r="G590" s="67">
        <v>26</v>
      </c>
      <c r="H590" s="67">
        <v>18070</v>
      </c>
      <c r="I590" s="68">
        <v>123456789</v>
      </c>
      <c r="J590" s="69" t="s">
        <v>887</v>
      </c>
    </row>
    <row r="591" spans="1:10" x14ac:dyDescent="0.3">
      <c r="A591" s="62">
        <v>45519</v>
      </c>
      <c r="B591" s="63" t="s">
        <v>1477</v>
      </c>
      <c r="C591" s="64">
        <v>123457378</v>
      </c>
      <c r="D591" s="70" t="s">
        <v>639</v>
      </c>
      <c r="E591" s="111" t="s">
        <v>868</v>
      </c>
      <c r="F591" s="66">
        <v>806</v>
      </c>
      <c r="G591" s="67">
        <v>29</v>
      </c>
      <c r="H591" s="67">
        <v>23374</v>
      </c>
      <c r="I591" s="68">
        <v>123456789</v>
      </c>
      <c r="J591" s="69" t="s">
        <v>887</v>
      </c>
    </row>
    <row r="592" spans="1:10" x14ac:dyDescent="0.3">
      <c r="A592" s="62">
        <v>45520</v>
      </c>
      <c r="B592" s="63" t="s">
        <v>1478</v>
      </c>
      <c r="C592" s="64">
        <v>123457379</v>
      </c>
      <c r="D592" s="65" t="s">
        <v>640</v>
      </c>
      <c r="E592" s="53" t="s">
        <v>869</v>
      </c>
      <c r="F592" s="66">
        <v>747</v>
      </c>
      <c r="G592" s="67">
        <v>24</v>
      </c>
      <c r="H592" s="67">
        <v>17928</v>
      </c>
      <c r="I592" s="68">
        <v>123456789</v>
      </c>
      <c r="J592" s="69" t="s">
        <v>887</v>
      </c>
    </row>
    <row r="593" spans="1:10" x14ac:dyDescent="0.3">
      <c r="A593" s="62">
        <v>45521</v>
      </c>
      <c r="B593" s="63" t="s">
        <v>1479</v>
      </c>
      <c r="C593" s="64">
        <v>123457380</v>
      </c>
      <c r="D593" s="70" t="s">
        <v>641</v>
      </c>
      <c r="E593" s="111" t="s">
        <v>868</v>
      </c>
      <c r="F593" s="66">
        <v>754</v>
      </c>
      <c r="G593" s="67">
        <v>27</v>
      </c>
      <c r="H593" s="67">
        <v>20358</v>
      </c>
      <c r="I593" s="68">
        <v>123456789</v>
      </c>
      <c r="J593" s="69" t="s">
        <v>887</v>
      </c>
    </row>
    <row r="594" spans="1:10" x14ac:dyDescent="0.3">
      <c r="A594" s="62">
        <v>45522</v>
      </c>
      <c r="B594" s="63" t="s">
        <v>1480</v>
      </c>
      <c r="C594" s="64">
        <v>123457381</v>
      </c>
      <c r="D594" s="65" t="s">
        <v>642</v>
      </c>
      <c r="E594" s="53" t="s">
        <v>868</v>
      </c>
      <c r="F594" s="66">
        <v>574</v>
      </c>
      <c r="G594" s="67">
        <v>30</v>
      </c>
      <c r="H594" s="67">
        <v>17220</v>
      </c>
      <c r="I594" s="68">
        <v>123456789</v>
      </c>
      <c r="J594" s="69" t="s">
        <v>887</v>
      </c>
    </row>
    <row r="595" spans="1:10" x14ac:dyDescent="0.3">
      <c r="A595" s="62">
        <v>45523</v>
      </c>
      <c r="B595" s="63" t="s">
        <v>1481</v>
      </c>
      <c r="C595" s="64">
        <v>123457382</v>
      </c>
      <c r="D595" s="70" t="s">
        <v>643</v>
      </c>
      <c r="E595" s="111" t="s">
        <v>868</v>
      </c>
      <c r="F595" s="66">
        <v>846</v>
      </c>
      <c r="G595" s="67">
        <v>26</v>
      </c>
      <c r="H595" s="67">
        <v>21996</v>
      </c>
      <c r="I595" s="68">
        <v>123456789</v>
      </c>
      <c r="J595" s="69" t="s">
        <v>889</v>
      </c>
    </row>
    <row r="596" spans="1:10" x14ac:dyDescent="0.3">
      <c r="A596" s="62">
        <v>45524</v>
      </c>
      <c r="B596" s="63" t="s">
        <v>1482</v>
      </c>
      <c r="C596" s="64">
        <v>123457383</v>
      </c>
      <c r="D596" s="65" t="s">
        <v>644</v>
      </c>
      <c r="E596" s="53" t="s">
        <v>869</v>
      </c>
      <c r="F596" s="66">
        <v>987</v>
      </c>
      <c r="G596" s="67">
        <v>24</v>
      </c>
      <c r="H596" s="67">
        <v>23688</v>
      </c>
      <c r="I596" s="68">
        <v>123456789</v>
      </c>
      <c r="J596" s="69" t="s">
        <v>887</v>
      </c>
    </row>
    <row r="597" spans="1:10" x14ac:dyDescent="0.3">
      <c r="A597" s="62">
        <v>45525</v>
      </c>
      <c r="B597" s="63" t="s">
        <v>1483</v>
      </c>
      <c r="C597" s="64">
        <v>123457384</v>
      </c>
      <c r="D597" s="70" t="s">
        <v>645</v>
      </c>
      <c r="E597" s="111" t="s">
        <v>868</v>
      </c>
      <c r="F597" s="66">
        <v>926</v>
      </c>
      <c r="G597" s="67">
        <v>26</v>
      </c>
      <c r="H597" s="67">
        <v>24076</v>
      </c>
      <c r="I597" s="68">
        <v>123456789</v>
      </c>
      <c r="J597" s="69" t="s">
        <v>887</v>
      </c>
    </row>
    <row r="598" spans="1:10" x14ac:dyDescent="0.3">
      <c r="A598" s="62">
        <v>45526</v>
      </c>
      <c r="B598" s="63" t="s">
        <v>1484</v>
      </c>
      <c r="C598" s="64">
        <v>123457385</v>
      </c>
      <c r="D598" s="65" t="s">
        <v>646</v>
      </c>
      <c r="E598" s="53" t="s">
        <v>868</v>
      </c>
      <c r="F598" s="66">
        <v>815</v>
      </c>
      <c r="G598" s="67">
        <v>31</v>
      </c>
      <c r="H598" s="67">
        <v>25265</v>
      </c>
      <c r="I598" s="68">
        <v>123456789</v>
      </c>
      <c r="J598" s="69" t="s">
        <v>887</v>
      </c>
    </row>
    <row r="599" spans="1:10" x14ac:dyDescent="0.3">
      <c r="A599" s="62">
        <v>45527</v>
      </c>
      <c r="B599" s="63" t="s">
        <v>1485</v>
      </c>
      <c r="C599" s="64">
        <v>123457386</v>
      </c>
      <c r="D599" s="70" t="s">
        <v>647</v>
      </c>
      <c r="E599" s="111" t="s">
        <v>868</v>
      </c>
      <c r="F599" s="66">
        <v>773</v>
      </c>
      <c r="G599" s="67">
        <v>26</v>
      </c>
      <c r="H599" s="67">
        <v>20098</v>
      </c>
      <c r="I599" s="68">
        <v>123456789</v>
      </c>
      <c r="J599" s="69" t="s">
        <v>887</v>
      </c>
    </row>
    <row r="600" spans="1:10" x14ac:dyDescent="0.3">
      <c r="A600" s="62">
        <v>45528</v>
      </c>
      <c r="B600" s="63" t="s">
        <v>1486</v>
      </c>
      <c r="C600" s="64">
        <v>123457387</v>
      </c>
      <c r="D600" s="65" t="s">
        <v>648</v>
      </c>
      <c r="E600" s="53" t="s">
        <v>868</v>
      </c>
      <c r="F600" s="66">
        <v>964</v>
      </c>
      <c r="G600" s="67">
        <v>24</v>
      </c>
      <c r="H600" s="67">
        <v>23136</v>
      </c>
      <c r="I600" s="68">
        <v>123456789</v>
      </c>
      <c r="J600" s="69" t="s">
        <v>887</v>
      </c>
    </row>
    <row r="601" spans="1:10" x14ac:dyDescent="0.3">
      <c r="A601" s="62">
        <v>45529</v>
      </c>
      <c r="B601" s="63" t="s">
        <v>1487</v>
      </c>
      <c r="C601" s="64">
        <v>123457388</v>
      </c>
      <c r="D601" s="70" t="s">
        <v>649</v>
      </c>
      <c r="E601" s="111" t="s">
        <v>868</v>
      </c>
      <c r="F601" s="66">
        <v>274</v>
      </c>
      <c r="G601" s="67">
        <v>25</v>
      </c>
      <c r="H601" s="67">
        <v>6850</v>
      </c>
      <c r="I601" s="68">
        <v>123456789</v>
      </c>
      <c r="J601" s="69" t="s">
        <v>887</v>
      </c>
    </row>
    <row r="602" spans="1:10" x14ac:dyDescent="0.3">
      <c r="A602" s="62">
        <v>45530</v>
      </c>
      <c r="B602" s="63" t="s">
        <v>1488</v>
      </c>
      <c r="C602" s="64">
        <v>123457389</v>
      </c>
      <c r="D602" s="65" t="s">
        <v>650</v>
      </c>
      <c r="E602" s="53" t="s">
        <v>868</v>
      </c>
      <c r="F602" s="66">
        <v>297</v>
      </c>
      <c r="G602" s="67">
        <v>24</v>
      </c>
      <c r="H602" s="67">
        <v>7128</v>
      </c>
      <c r="I602" s="68">
        <v>123456789</v>
      </c>
      <c r="J602" s="69" t="s">
        <v>889</v>
      </c>
    </row>
    <row r="603" spans="1:10" x14ac:dyDescent="0.3">
      <c r="A603" s="62">
        <v>45531</v>
      </c>
      <c r="B603" s="63" t="s">
        <v>1489</v>
      </c>
      <c r="C603" s="64">
        <v>123457390</v>
      </c>
      <c r="D603" s="70" t="s">
        <v>651</v>
      </c>
      <c r="E603" s="111" t="s">
        <v>868</v>
      </c>
      <c r="F603" s="66">
        <v>294</v>
      </c>
      <c r="G603" s="67">
        <v>28</v>
      </c>
      <c r="H603" s="67">
        <v>8232</v>
      </c>
      <c r="I603" s="68">
        <v>123456789</v>
      </c>
      <c r="J603" s="69" t="s">
        <v>887</v>
      </c>
    </row>
    <row r="604" spans="1:10" x14ac:dyDescent="0.3">
      <c r="A604" s="62">
        <v>45532</v>
      </c>
      <c r="B604" s="63" t="s">
        <v>1490</v>
      </c>
      <c r="C604" s="64">
        <v>123457391</v>
      </c>
      <c r="D604" s="65" t="s">
        <v>652</v>
      </c>
      <c r="E604" s="53" t="s">
        <v>868</v>
      </c>
      <c r="F604" s="66">
        <v>250</v>
      </c>
      <c r="G604" s="67">
        <v>26</v>
      </c>
      <c r="H604" s="67">
        <v>6500</v>
      </c>
      <c r="I604" s="68">
        <v>123456789</v>
      </c>
      <c r="J604" s="69" t="s">
        <v>887</v>
      </c>
    </row>
    <row r="605" spans="1:10" x14ac:dyDescent="0.3">
      <c r="A605" s="62">
        <v>45533</v>
      </c>
      <c r="B605" s="63" t="s">
        <v>1491</v>
      </c>
      <c r="C605" s="64">
        <v>123457392</v>
      </c>
      <c r="D605" s="70" t="s">
        <v>653</v>
      </c>
      <c r="E605" s="111" t="s">
        <v>868</v>
      </c>
      <c r="F605" s="66">
        <v>255</v>
      </c>
      <c r="G605" s="67">
        <v>31</v>
      </c>
      <c r="H605" s="67">
        <v>7905</v>
      </c>
      <c r="I605" s="68">
        <v>123456789</v>
      </c>
      <c r="J605" s="69" t="s">
        <v>889</v>
      </c>
    </row>
    <row r="606" spans="1:10" x14ac:dyDescent="0.3">
      <c r="A606" s="62">
        <v>45534</v>
      </c>
      <c r="B606" s="63" t="s">
        <v>1492</v>
      </c>
      <c r="C606" s="64">
        <v>123457393</v>
      </c>
      <c r="D606" s="65" t="s">
        <v>654</v>
      </c>
      <c r="E606" s="53" t="s">
        <v>868</v>
      </c>
      <c r="F606" s="66">
        <v>251</v>
      </c>
      <c r="G606" s="67">
        <v>29</v>
      </c>
      <c r="H606" s="67">
        <v>7279</v>
      </c>
      <c r="I606" s="68">
        <v>123456789</v>
      </c>
      <c r="J606" s="69" t="s">
        <v>887</v>
      </c>
    </row>
    <row r="607" spans="1:10" x14ac:dyDescent="0.3">
      <c r="A607" s="62">
        <v>45535</v>
      </c>
      <c r="B607" s="63" t="s">
        <v>1493</v>
      </c>
      <c r="C607" s="64">
        <v>123457394</v>
      </c>
      <c r="D607" s="70" t="s">
        <v>655</v>
      </c>
      <c r="E607" s="111" t="s">
        <v>868</v>
      </c>
      <c r="F607" s="66">
        <v>293</v>
      </c>
      <c r="G607" s="67">
        <v>22</v>
      </c>
      <c r="H607" s="67">
        <v>6446</v>
      </c>
      <c r="I607" s="68">
        <v>123456789</v>
      </c>
      <c r="J607" s="69" t="s">
        <v>887</v>
      </c>
    </row>
    <row r="608" spans="1:10" x14ac:dyDescent="0.3">
      <c r="A608" s="62">
        <v>45536</v>
      </c>
      <c r="B608" s="63" t="s">
        <v>1494</v>
      </c>
      <c r="C608" s="64">
        <v>123457395</v>
      </c>
      <c r="D608" s="65" t="s">
        <v>656</v>
      </c>
      <c r="E608" s="53" t="s">
        <v>868</v>
      </c>
      <c r="F608" s="66">
        <v>232</v>
      </c>
      <c r="G608" s="67">
        <v>23</v>
      </c>
      <c r="H608" s="67">
        <v>5336</v>
      </c>
      <c r="I608" s="68">
        <v>123456789</v>
      </c>
      <c r="J608" s="69" t="s">
        <v>887</v>
      </c>
    </row>
    <row r="609" spans="1:10" x14ac:dyDescent="0.3">
      <c r="A609" s="62">
        <v>45537</v>
      </c>
      <c r="B609" s="63" t="s">
        <v>1495</v>
      </c>
      <c r="C609" s="64">
        <v>123457396</v>
      </c>
      <c r="D609" s="70" t="s">
        <v>657</v>
      </c>
      <c r="E609" s="111" t="s">
        <v>868</v>
      </c>
      <c r="F609" s="66">
        <v>231</v>
      </c>
      <c r="G609" s="67">
        <v>27</v>
      </c>
      <c r="H609" s="67">
        <v>6237</v>
      </c>
      <c r="I609" s="68">
        <v>123456789</v>
      </c>
      <c r="J609" s="69" t="s">
        <v>889</v>
      </c>
    </row>
    <row r="610" spans="1:10" x14ac:dyDescent="0.3">
      <c r="A610" s="62">
        <v>45538</v>
      </c>
      <c r="B610" s="63" t="s">
        <v>1496</v>
      </c>
      <c r="C610" s="64">
        <v>123457397</v>
      </c>
      <c r="D610" s="65" t="s">
        <v>658</v>
      </c>
      <c r="E610" s="53" t="s">
        <v>869</v>
      </c>
      <c r="F610" s="66">
        <v>218</v>
      </c>
      <c r="G610" s="67">
        <v>21</v>
      </c>
      <c r="H610" s="67">
        <v>4578</v>
      </c>
      <c r="I610" s="68">
        <v>123456789</v>
      </c>
      <c r="J610" s="69" t="s">
        <v>889</v>
      </c>
    </row>
    <row r="611" spans="1:10" x14ac:dyDescent="0.3">
      <c r="A611" s="62">
        <v>45539</v>
      </c>
      <c r="B611" s="63" t="s">
        <v>1497</v>
      </c>
      <c r="C611" s="64">
        <v>123457398</v>
      </c>
      <c r="D611" s="70" t="s">
        <v>659</v>
      </c>
      <c r="E611" s="111" t="s">
        <v>868</v>
      </c>
      <c r="F611" s="66">
        <v>277</v>
      </c>
      <c r="G611" s="67">
        <v>22</v>
      </c>
      <c r="H611" s="67">
        <v>6094</v>
      </c>
      <c r="I611" s="68">
        <v>123456789</v>
      </c>
      <c r="J611" s="69" t="s">
        <v>887</v>
      </c>
    </row>
    <row r="612" spans="1:10" x14ac:dyDescent="0.3">
      <c r="A612" s="62">
        <v>45540</v>
      </c>
      <c r="B612" s="63" t="s">
        <v>1498</v>
      </c>
      <c r="C612" s="64">
        <v>123457399</v>
      </c>
      <c r="D612" s="65" t="s">
        <v>660</v>
      </c>
      <c r="E612" s="53" t="s">
        <v>868</v>
      </c>
      <c r="F612" s="66">
        <v>234</v>
      </c>
      <c r="G612" s="67">
        <v>27</v>
      </c>
      <c r="H612" s="67">
        <v>6318</v>
      </c>
      <c r="I612" s="68">
        <v>123456789</v>
      </c>
      <c r="J612" s="69" t="s">
        <v>887</v>
      </c>
    </row>
    <row r="613" spans="1:10" x14ac:dyDescent="0.3">
      <c r="A613" s="62">
        <v>45541</v>
      </c>
      <c r="B613" s="63" t="s">
        <v>1499</v>
      </c>
      <c r="C613" s="64">
        <v>123457400</v>
      </c>
      <c r="D613" s="70" t="s">
        <v>661</v>
      </c>
      <c r="E613" s="111" t="s">
        <v>868</v>
      </c>
      <c r="F613" s="66">
        <v>231</v>
      </c>
      <c r="G613" s="67">
        <v>28</v>
      </c>
      <c r="H613" s="67">
        <v>6468</v>
      </c>
      <c r="I613" s="68">
        <v>123456789</v>
      </c>
      <c r="J613" s="69" t="s">
        <v>887</v>
      </c>
    </row>
    <row r="614" spans="1:10" x14ac:dyDescent="0.3">
      <c r="A614" s="62">
        <v>45542</v>
      </c>
      <c r="B614" s="63" t="s">
        <v>1500</v>
      </c>
      <c r="C614" s="64">
        <v>123457401</v>
      </c>
      <c r="D614" s="65" t="s">
        <v>662</v>
      </c>
      <c r="E614" s="53" t="s">
        <v>868</v>
      </c>
      <c r="F614" s="66">
        <v>202</v>
      </c>
      <c r="G614" s="67">
        <v>25</v>
      </c>
      <c r="H614" s="67">
        <v>5050</v>
      </c>
      <c r="I614" s="68">
        <v>123456789</v>
      </c>
      <c r="J614" s="69" t="s">
        <v>887</v>
      </c>
    </row>
    <row r="615" spans="1:10" x14ac:dyDescent="0.3">
      <c r="A615" s="62">
        <v>45543</v>
      </c>
      <c r="B615" s="63" t="s">
        <v>1501</v>
      </c>
      <c r="C615" s="64">
        <v>123457402</v>
      </c>
      <c r="D615" s="70" t="s">
        <v>663</v>
      </c>
      <c r="E615" s="111" t="s">
        <v>868</v>
      </c>
      <c r="F615" s="66">
        <v>227</v>
      </c>
      <c r="G615" s="67">
        <v>24</v>
      </c>
      <c r="H615" s="67">
        <v>5448</v>
      </c>
      <c r="I615" s="68">
        <v>123456789</v>
      </c>
      <c r="J615" s="69" t="s">
        <v>887</v>
      </c>
    </row>
    <row r="616" spans="1:10" x14ac:dyDescent="0.3">
      <c r="A616" s="62">
        <v>45544</v>
      </c>
      <c r="B616" s="63" t="s">
        <v>1502</v>
      </c>
      <c r="C616" s="64">
        <v>123457403</v>
      </c>
      <c r="D616" s="65" t="s">
        <v>664</v>
      </c>
      <c r="E616" s="53" t="s">
        <v>868</v>
      </c>
      <c r="F616" s="66">
        <v>269</v>
      </c>
      <c r="G616" s="67">
        <v>22</v>
      </c>
      <c r="H616" s="67">
        <v>5918</v>
      </c>
      <c r="I616" s="68">
        <v>123456789</v>
      </c>
      <c r="J616" s="69" t="s">
        <v>889</v>
      </c>
    </row>
    <row r="617" spans="1:10" x14ac:dyDescent="0.3">
      <c r="A617" s="62">
        <v>45545</v>
      </c>
      <c r="B617" s="63" t="s">
        <v>1503</v>
      </c>
      <c r="C617" s="64">
        <v>123457404</v>
      </c>
      <c r="D617" s="70" t="s">
        <v>665</v>
      </c>
      <c r="E617" s="111" t="s">
        <v>868</v>
      </c>
      <c r="F617" s="66">
        <v>212</v>
      </c>
      <c r="G617" s="67">
        <v>27</v>
      </c>
      <c r="H617" s="67">
        <v>5724</v>
      </c>
      <c r="I617" s="68">
        <v>123456789</v>
      </c>
      <c r="J617" s="69" t="s">
        <v>887</v>
      </c>
    </row>
    <row r="618" spans="1:10" x14ac:dyDescent="0.3">
      <c r="A618" s="62">
        <v>45546</v>
      </c>
      <c r="B618" s="63" t="s">
        <v>1504</v>
      </c>
      <c r="C618" s="64">
        <v>123457405</v>
      </c>
      <c r="D618" s="65" t="s">
        <v>666</v>
      </c>
      <c r="E618" s="53" t="s">
        <v>868</v>
      </c>
      <c r="F618" s="66">
        <v>239</v>
      </c>
      <c r="G618" s="67">
        <v>30</v>
      </c>
      <c r="H618" s="67">
        <v>7170</v>
      </c>
      <c r="I618" s="68">
        <v>123456789</v>
      </c>
      <c r="J618" s="69" t="s">
        <v>887</v>
      </c>
    </row>
    <row r="619" spans="1:10" x14ac:dyDescent="0.3">
      <c r="A619" s="62">
        <v>45547</v>
      </c>
      <c r="B619" s="63" t="s">
        <v>1505</v>
      </c>
      <c r="C619" s="64">
        <v>123457406</v>
      </c>
      <c r="D619" s="70" t="s">
        <v>667</v>
      </c>
      <c r="E619" s="111" t="s">
        <v>869</v>
      </c>
      <c r="F619" s="66">
        <v>264</v>
      </c>
      <c r="G619" s="67">
        <v>30</v>
      </c>
      <c r="H619" s="67">
        <v>7920</v>
      </c>
      <c r="I619" s="68">
        <v>123456789</v>
      </c>
      <c r="J619" s="69" t="s">
        <v>889</v>
      </c>
    </row>
    <row r="620" spans="1:10" x14ac:dyDescent="0.3">
      <c r="A620" s="62">
        <v>45548</v>
      </c>
      <c r="B620" s="63" t="s">
        <v>1506</v>
      </c>
      <c r="C620" s="64">
        <v>123457407</v>
      </c>
      <c r="D620" s="65" t="s">
        <v>668</v>
      </c>
      <c r="E620" s="53" t="s">
        <v>868</v>
      </c>
      <c r="F620" s="66">
        <v>286</v>
      </c>
      <c r="G620" s="67">
        <v>26</v>
      </c>
      <c r="H620" s="67">
        <v>7436</v>
      </c>
      <c r="I620" s="68">
        <v>123456789</v>
      </c>
      <c r="J620" s="69" t="s">
        <v>887</v>
      </c>
    </row>
    <row r="621" spans="1:10" x14ac:dyDescent="0.3">
      <c r="A621" s="62">
        <v>45549</v>
      </c>
      <c r="B621" s="63" t="s">
        <v>1507</v>
      </c>
      <c r="C621" s="64">
        <v>123457408</v>
      </c>
      <c r="D621" s="70" t="s">
        <v>669</v>
      </c>
      <c r="E621" s="111" t="s">
        <v>868</v>
      </c>
      <c r="F621" s="66">
        <v>241</v>
      </c>
      <c r="G621" s="67">
        <v>22</v>
      </c>
      <c r="H621" s="67">
        <v>5302</v>
      </c>
      <c r="I621" s="68">
        <v>123456789</v>
      </c>
      <c r="J621" s="69" t="s">
        <v>887</v>
      </c>
    </row>
    <row r="622" spans="1:10" x14ac:dyDescent="0.3">
      <c r="A622" s="62">
        <v>45550</v>
      </c>
      <c r="B622" s="63" t="s">
        <v>1508</v>
      </c>
      <c r="C622" s="64">
        <v>123457409</v>
      </c>
      <c r="D622" s="65" t="s">
        <v>670</v>
      </c>
      <c r="E622" s="53" t="s">
        <v>868</v>
      </c>
      <c r="F622" s="66">
        <v>293</v>
      </c>
      <c r="G622" s="67">
        <v>23</v>
      </c>
      <c r="H622" s="67">
        <v>6739</v>
      </c>
      <c r="I622" s="68">
        <v>123456789</v>
      </c>
      <c r="J622" s="69" t="s">
        <v>887</v>
      </c>
    </row>
    <row r="623" spans="1:10" x14ac:dyDescent="0.3">
      <c r="A623" s="62">
        <v>45551</v>
      </c>
      <c r="B623" s="63" t="s">
        <v>1509</v>
      </c>
      <c r="C623" s="64">
        <v>123457410</v>
      </c>
      <c r="D623" s="70" t="s">
        <v>671</v>
      </c>
      <c r="E623" s="111" t="s">
        <v>868</v>
      </c>
      <c r="F623" s="66">
        <v>237</v>
      </c>
      <c r="G623" s="67">
        <v>27</v>
      </c>
      <c r="H623" s="67">
        <v>6399</v>
      </c>
      <c r="I623" s="68">
        <v>123456789</v>
      </c>
      <c r="J623" s="69" t="s">
        <v>889</v>
      </c>
    </row>
    <row r="624" spans="1:10" x14ac:dyDescent="0.3">
      <c r="A624" s="62">
        <v>45552</v>
      </c>
      <c r="B624" s="63" t="s">
        <v>1510</v>
      </c>
      <c r="C624" s="64">
        <v>123457411</v>
      </c>
      <c r="D624" s="65" t="s">
        <v>672</v>
      </c>
      <c r="E624" s="53" t="s">
        <v>869</v>
      </c>
      <c r="F624" s="66">
        <v>204</v>
      </c>
      <c r="G624" s="67">
        <v>21</v>
      </c>
      <c r="H624" s="67">
        <v>4284</v>
      </c>
      <c r="I624" s="68">
        <v>123456789</v>
      </c>
      <c r="J624" s="69" t="s">
        <v>889</v>
      </c>
    </row>
    <row r="625" spans="1:10" x14ac:dyDescent="0.3">
      <c r="A625" s="62">
        <v>45553</v>
      </c>
      <c r="B625" s="63" t="s">
        <v>1511</v>
      </c>
      <c r="C625" s="64">
        <v>123457412</v>
      </c>
      <c r="D625" s="70" t="s">
        <v>673</v>
      </c>
      <c r="E625" s="111" t="s">
        <v>868</v>
      </c>
      <c r="F625" s="66">
        <v>285</v>
      </c>
      <c r="G625" s="67">
        <v>29</v>
      </c>
      <c r="H625" s="67">
        <v>8265</v>
      </c>
      <c r="I625" s="68">
        <v>123456789</v>
      </c>
      <c r="J625" s="69" t="s">
        <v>887</v>
      </c>
    </row>
    <row r="626" spans="1:10" x14ac:dyDescent="0.3">
      <c r="A626" s="62">
        <v>45554</v>
      </c>
      <c r="B626" s="63" t="s">
        <v>1512</v>
      </c>
      <c r="C626" s="64">
        <v>123457413</v>
      </c>
      <c r="D626" s="65" t="s">
        <v>674</v>
      </c>
      <c r="E626" s="53" t="s">
        <v>868</v>
      </c>
      <c r="F626" s="66">
        <v>247</v>
      </c>
      <c r="G626" s="67">
        <v>24</v>
      </c>
      <c r="H626" s="67">
        <v>5928</v>
      </c>
      <c r="I626" s="68">
        <v>123456789</v>
      </c>
      <c r="J626" s="69" t="s">
        <v>887</v>
      </c>
    </row>
    <row r="627" spans="1:10" x14ac:dyDescent="0.3">
      <c r="A627" s="62">
        <v>45555</v>
      </c>
      <c r="B627" s="63" t="s">
        <v>1513</v>
      </c>
      <c r="C627" s="64">
        <v>123457414</v>
      </c>
      <c r="D627" s="70" t="s">
        <v>675</v>
      </c>
      <c r="E627" s="111" t="s">
        <v>868</v>
      </c>
      <c r="F627" s="66">
        <v>227</v>
      </c>
      <c r="G627" s="67">
        <v>22</v>
      </c>
      <c r="H627" s="67">
        <v>4994</v>
      </c>
      <c r="I627" s="68">
        <v>123456789</v>
      </c>
      <c r="J627" s="69" t="s">
        <v>887</v>
      </c>
    </row>
    <row r="628" spans="1:10" x14ac:dyDescent="0.3">
      <c r="A628" s="62">
        <v>45556</v>
      </c>
      <c r="B628" s="63" t="s">
        <v>1514</v>
      </c>
      <c r="C628" s="64">
        <v>123457415</v>
      </c>
      <c r="D628" s="65" t="s">
        <v>676</v>
      </c>
      <c r="E628" s="53" t="s">
        <v>868</v>
      </c>
      <c r="F628" s="66">
        <v>266</v>
      </c>
      <c r="G628" s="67">
        <v>24</v>
      </c>
      <c r="H628" s="67">
        <v>6384</v>
      </c>
      <c r="I628" s="68">
        <v>123456789</v>
      </c>
      <c r="J628" s="69" t="s">
        <v>887</v>
      </c>
    </row>
    <row r="629" spans="1:10" x14ac:dyDescent="0.3">
      <c r="A629" s="62">
        <v>45557</v>
      </c>
      <c r="B629" s="63" t="s">
        <v>1515</v>
      </c>
      <c r="C629" s="64">
        <v>123457416</v>
      </c>
      <c r="D629" s="70" t="s">
        <v>677</v>
      </c>
      <c r="E629" s="111" t="s">
        <v>869</v>
      </c>
      <c r="F629" s="66">
        <v>296</v>
      </c>
      <c r="G629" s="67">
        <v>22</v>
      </c>
      <c r="H629" s="67">
        <v>6512</v>
      </c>
      <c r="I629" s="68">
        <v>123456789</v>
      </c>
      <c r="J629" s="69" t="s">
        <v>889</v>
      </c>
    </row>
    <row r="630" spans="1:10" x14ac:dyDescent="0.3">
      <c r="A630" s="62">
        <v>45558</v>
      </c>
      <c r="B630" s="63" t="s">
        <v>1516</v>
      </c>
      <c r="C630" s="64">
        <v>123457417</v>
      </c>
      <c r="D630" s="65" t="s">
        <v>678</v>
      </c>
      <c r="E630" s="53" t="s">
        <v>868</v>
      </c>
      <c r="F630" s="66">
        <v>222</v>
      </c>
      <c r="G630" s="67">
        <v>24</v>
      </c>
      <c r="H630" s="67">
        <v>5328</v>
      </c>
      <c r="I630" s="68">
        <v>123456789</v>
      </c>
      <c r="J630" s="69" t="s">
        <v>887</v>
      </c>
    </row>
    <row r="631" spans="1:10" x14ac:dyDescent="0.3">
      <c r="A631" s="62">
        <v>45559</v>
      </c>
      <c r="B631" s="63" t="s">
        <v>1517</v>
      </c>
      <c r="C631" s="64">
        <v>123457418</v>
      </c>
      <c r="D631" s="70" t="s">
        <v>679</v>
      </c>
      <c r="E631" s="111" t="s">
        <v>868</v>
      </c>
      <c r="F631" s="66">
        <v>234</v>
      </c>
      <c r="G631" s="67">
        <v>23</v>
      </c>
      <c r="H631" s="67">
        <v>5382</v>
      </c>
      <c r="I631" s="68">
        <v>123456789</v>
      </c>
      <c r="J631" s="69" t="s">
        <v>887</v>
      </c>
    </row>
    <row r="632" spans="1:10" x14ac:dyDescent="0.3">
      <c r="A632" s="62">
        <v>45560</v>
      </c>
      <c r="B632" s="63" t="s">
        <v>1518</v>
      </c>
      <c r="C632" s="64">
        <v>123457419</v>
      </c>
      <c r="D632" s="65" t="s">
        <v>680</v>
      </c>
      <c r="E632" s="53" t="s">
        <v>868</v>
      </c>
      <c r="F632" s="66">
        <v>261</v>
      </c>
      <c r="G632" s="67">
        <v>26</v>
      </c>
      <c r="H632" s="67">
        <v>6786</v>
      </c>
      <c r="I632" s="68">
        <v>123456789</v>
      </c>
      <c r="J632" s="69" t="s">
        <v>887</v>
      </c>
    </row>
    <row r="633" spans="1:10" x14ac:dyDescent="0.3">
      <c r="A633" s="62">
        <v>45561</v>
      </c>
      <c r="B633" s="63" t="s">
        <v>1519</v>
      </c>
      <c r="C633" s="64">
        <v>123457420</v>
      </c>
      <c r="D633" s="70" t="s">
        <v>681</v>
      </c>
      <c r="E633" s="111" t="s">
        <v>868</v>
      </c>
      <c r="F633" s="66">
        <v>290</v>
      </c>
      <c r="G633" s="67">
        <v>25</v>
      </c>
      <c r="H633" s="67">
        <v>7250</v>
      </c>
      <c r="I633" s="68">
        <v>123456789</v>
      </c>
      <c r="J633" s="69" t="s">
        <v>887</v>
      </c>
    </row>
    <row r="634" spans="1:10" x14ac:dyDescent="0.3">
      <c r="A634" s="62">
        <v>45562</v>
      </c>
      <c r="B634" s="63" t="s">
        <v>1520</v>
      </c>
      <c r="C634" s="64">
        <v>123457421</v>
      </c>
      <c r="D634" s="65" t="s">
        <v>682</v>
      </c>
      <c r="E634" s="53" t="s">
        <v>869</v>
      </c>
      <c r="F634" s="66">
        <v>202</v>
      </c>
      <c r="G634" s="67">
        <v>31</v>
      </c>
      <c r="H634" s="67">
        <v>6262</v>
      </c>
      <c r="I634" s="68">
        <v>123456789</v>
      </c>
      <c r="J634" s="69" t="s">
        <v>887</v>
      </c>
    </row>
    <row r="635" spans="1:10" x14ac:dyDescent="0.3">
      <c r="A635" s="62">
        <v>45563</v>
      </c>
      <c r="B635" s="63" t="s">
        <v>1521</v>
      </c>
      <c r="C635" s="64">
        <v>123457422</v>
      </c>
      <c r="D635" s="70" t="s">
        <v>683</v>
      </c>
      <c r="E635" s="111" t="s">
        <v>868</v>
      </c>
      <c r="F635" s="66">
        <v>272</v>
      </c>
      <c r="G635" s="67">
        <v>22</v>
      </c>
      <c r="H635" s="67">
        <v>5984</v>
      </c>
      <c r="I635" s="68">
        <v>123456789</v>
      </c>
      <c r="J635" s="69" t="s">
        <v>889</v>
      </c>
    </row>
    <row r="636" spans="1:10" x14ac:dyDescent="0.3">
      <c r="A636" s="62">
        <v>45564</v>
      </c>
      <c r="B636" s="63" t="s">
        <v>1522</v>
      </c>
      <c r="C636" s="64">
        <v>123457423</v>
      </c>
      <c r="D636" s="65" t="s">
        <v>684</v>
      </c>
      <c r="E636" s="53" t="s">
        <v>868</v>
      </c>
      <c r="F636" s="66">
        <v>244</v>
      </c>
      <c r="G636" s="67">
        <v>23</v>
      </c>
      <c r="H636" s="67">
        <v>5612</v>
      </c>
      <c r="I636" s="68">
        <v>123456789</v>
      </c>
      <c r="J636" s="69" t="s">
        <v>887</v>
      </c>
    </row>
    <row r="637" spans="1:10" x14ac:dyDescent="0.3">
      <c r="A637" s="62">
        <v>45565</v>
      </c>
      <c r="B637" s="63" t="s">
        <v>1523</v>
      </c>
      <c r="C637" s="64">
        <v>123457424</v>
      </c>
      <c r="D637" s="70" t="s">
        <v>685</v>
      </c>
      <c r="E637" s="111" t="s">
        <v>868</v>
      </c>
      <c r="F637" s="66">
        <v>275</v>
      </c>
      <c r="G637" s="67">
        <v>28</v>
      </c>
      <c r="H637" s="67">
        <v>7700</v>
      </c>
      <c r="I637" s="68">
        <v>123456789</v>
      </c>
      <c r="J637" s="69" t="s">
        <v>887</v>
      </c>
    </row>
    <row r="638" spans="1:10" x14ac:dyDescent="0.3">
      <c r="A638" s="62">
        <v>45566</v>
      </c>
      <c r="B638" s="63" t="s">
        <v>1524</v>
      </c>
      <c r="C638" s="64">
        <v>123457425</v>
      </c>
      <c r="D638" s="65" t="s">
        <v>686</v>
      </c>
      <c r="E638" s="53" t="s">
        <v>868</v>
      </c>
      <c r="F638" s="66">
        <v>226</v>
      </c>
      <c r="G638" s="67">
        <v>25</v>
      </c>
      <c r="H638" s="67">
        <v>5650</v>
      </c>
      <c r="I638" s="68">
        <v>123456789</v>
      </c>
      <c r="J638" s="69" t="s">
        <v>887</v>
      </c>
    </row>
    <row r="639" spans="1:10" x14ac:dyDescent="0.3">
      <c r="A639" s="62">
        <v>45567</v>
      </c>
      <c r="B639" s="63" t="s">
        <v>1525</v>
      </c>
      <c r="C639" s="64">
        <v>123457426</v>
      </c>
      <c r="D639" s="70" t="s">
        <v>687</v>
      </c>
      <c r="E639" s="111" t="s">
        <v>868</v>
      </c>
      <c r="F639" s="66">
        <f t="shared" ref="F639:F690" ca="1" si="0">RANDBETWEEN(250, 510)</f>
        <v>287</v>
      </c>
      <c r="G639" s="67">
        <v>31</v>
      </c>
      <c r="H639" s="67">
        <v>8711</v>
      </c>
      <c r="I639" s="68">
        <v>123456789</v>
      </c>
      <c r="J639" s="69" t="s">
        <v>887</v>
      </c>
    </row>
    <row r="640" spans="1:10" x14ac:dyDescent="0.3">
      <c r="A640" s="62">
        <v>45568</v>
      </c>
      <c r="B640" s="63" t="s">
        <v>1526</v>
      </c>
      <c r="C640" s="64">
        <v>123457427</v>
      </c>
      <c r="D640" s="65" t="s">
        <v>688</v>
      </c>
      <c r="E640" s="53" t="s">
        <v>869</v>
      </c>
      <c r="F640" s="66">
        <f t="shared" ca="1" si="0"/>
        <v>256</v>
      </c>
      <c r="G640" s="67">
        <v>26</v>
      </c>
      <c r="H640" s="67">
        <v>9360</v>
      </c>
      <c r="I640" s="68">
        <v>123456789</v>
      </c>
      <c r="J640" s="69" t="s">
        <v>887</v>
      </c>
    </row>
    <row r="641" spans="1:10" x14ac:dyDescent="0.3">
      <c r="A641" s="62">
        <v>45569</v>
      </c>
      <c r="B641" s="63" t="s">
        <v>1527</v>
      </c>
      <c r="C641" s="64">
        <v>123457428</v>
      </c>
      <c r="D641" s="70" t="s">
        <v>689</v>
      </c>
      <c r="E641" s="111" t="s">
        <v>868</v>
      </c>
      <c r="F641" s="66">
        <f t="shared" ca="1" si="0"/>
        <v>332</v>
      </c>
      <c r="G641" s="67">
        <v>30</v>
      </c>
      <c r="H641" s="67">
        <v>9120</v>
      </c>
      <c r="I641" s="68">
        <v>123456789</v>
      </c>
      <c r="J641" s="69" t="s">
        <v>887</v>
      </c>
    </row>
    <row r="642" spans="1:10" x14ac:dyDescent="0.3">
      <c r="A642" s="62">
        <v>45570</v>
      </c>
      <c r="B642" s="63" t="s">
        <v>1528</v>
      </c>
      <c r="C642" s="64">
        <v>123457429</v>
      </c>
      <c r="D642" s="65" t="s">
        <v>690</v>
      </c>
      <c r="E642" s="53" t="s">
        <v>868</v>
      </c>
      <c r="F642" s="66">
        <f t="shared" ca="1" si="0"/>
        <v>440</v>
      </c>
      <c r="G642" s="67">
        <v>30</v>
      </c>
      <c r="H642" s="67">
        <v>7800</v>
      </c>
      <c r="I642" s="68">
        <v>123456789</v>
      </c>
      <c r="J642" s="69" t="s">
        <v>887</v>
      </c>
    </row>
    <row r="643" spans="1:10" x14ac:dyDescent="0.3">
      <c r="A643" s="62">
        <v>45571</v>
      </c>
      <c r="B643" s="63" t="s">
        <v>1529</v>
      </c>
      <c r="C643" s="64">
        <v>123457430</v>
      </c>
      <c r="D643" s="70" t="s">
        <v>691</v>
      </c>
      <c r="E643" s="111" t="s">
        <v>869</v>
      </c>
      <c r="F643" s="66">
        <f t="shared" ca="1" si="0"/>
        <v>471</v>
      </c>
      <c r="G643" s="67">
        <v>28</v>
      </c>
      <c r="H643" s="67">
        <v>8960</v>
      </c>
      <c r="I643" s="68">
        <v>123456789</v>
      </c>
      <c r="J643" s="69" t="s">
        <v>887</v>
      </c>
    </row>
    <row r="644" spans="1:10" x14ac:dyDescent="0.3">
      <c r="A644" s="62">
        <v>45572</v>
      </c>
      <c r="B644" s="63" t="s">
        <v>1530</v>
      </c>
      <c r="C644" s="64">
        <v>123457431</v>
      </c>
      <c r="D644" s="65" t="s">
        <v>692</v>
      </c>
      <c r="E644" s="53" t="s">
        <v>868</v>
      </c>
      <c r="F644" s="66">
        <f t="shared" ca="1" si="0"/>
        <v>283</v>
      </c>
      <c r="G644" s="67">
        <v>26</v>
      </c>
      <c r="H644" s="67">
        <v>11258</v>
      </c>
      <c r="I644" s="68">
        <v>123456789</v>
      </c>
      <c r="J644" s="69" t="s">
        <v>887</v>
      </c>
    </row>
    <row r="645" spans="1:10" x14ac:dyDescent="0.3">
      <c r="A645" s="62">
        <v>45573</v>
      </c>
      <c r="B645" s="63" t="s">
        <v>1531</v>
      </c>
      <c r="C645" s="64">
        <v>123457432</v>
      </c>
      <c r="D645" s="70" t="s">
        <v>693</v>
      </c>
      <c r="E645" s="111" t="s">
        <v>869</v>
      </c>
      <c r="F645" s="66">
        <f t="shared" ca="1" si="0"/>
        <v>371</v>
      </c>
      <c r="G645" s="67">
        <v>28</v>
      </c>
      <c r="H645" s="67">
        <v>12908</v>
      </c>
      <c r="I645" s="68">
        <v>123456789</v>
      </c>
      <c r="J645" s="69" t="s">
        <v>887</v>
      </c>
    </row>
    <row r="646" spans="1:10" x14ac:dyDescent="0.3">
      <c r="A646" s="62">
        <v>45574</v>
      </c>
      <c r="B646" s="63" t="s">
        <v>1532</v>
      </c>
      <c r="C646" s="64">
        <v>123457433</v>
      </c>
      <c r="D646" s="65" t="s">
        <v>694</v>
      </c>
      <c r="E646" s="53" t="s">
        <v>868</v>
      </c>
      <c r="F646" s="66">
        <f t="shared" ca="1" si="0"/>
        <v>468</v>
      </c>
      <c r="G646" s="67">
        <v>31</v>
      </c>
      <c r="H646" s="67">
        <v>8463</v>
      </c>
      <c r="I646" s="68">
        <v>123456789</v>
      </c>
      <c r="J646" s="69" t="s">
        <v>887</v>
      </c>
    </row>
    <row r="647" spans="1:10" x14ac:dyDescent="0.3">
      <c r="A647" s="62">
        <v>45575</v>
      </c>
      <c r="B647" s="63" t="s">
        <v>1533</v>
      </c>
      <c r="C647" s="64">
        <v>123457434</v>
      </c>
      <c r="D647" s="70" t="s">
        <v>695</v>
      </c>
      <c r="E647" s="111" t="s">
        <v>868</v>
      </c>
      <c r="F647" s="66">
        <f t="shared" ca="1" si="0"/>
        <v>295</v>
      </c>
      <c r="G647" s="67">
        <v>21</v>
      </c>
      <c r="H647" s="67">
        <v>10122</v>
      </c>
      <c r="I647" s="68">
        <v>123456789</v>
      </c>
      <c r="J647" s="69" t="s">
        <v>887</v>
      </c>
    </row>
    <row r="648" spans="1:10" x14ac:dyDescent="0.3">
      <c r="A648" s="62">
        <v>45576</v>
      </c>
      <c r="B648" s="63" t="s">
        <v>1534</v>
      </c>
      <c r="C648" s="64">
        <v>123457435</v>
      </c>
      <c r="D648" s="65" t="s">
        <v>696</v>
      </c>
      <c r="E648" s="53" t="s">
        <v>869</v>
      </c>
      <c r="F648" s="66">
        <f t="shared" ca="1" si="0"/>
        <v>400</v>
      </c>
      <c r="G648" s="67">
        <v>21</v>
      </c>
      <c r="H648" s="67">
        <v>10101</v>
      </c>
      <c r="I648" s="68">
        <v>123456789</v>
      </c>
      <c r="J648" s="69" t="s">
        <v>889</v>
      </c>
    </row>
    <row r="649" spans="1:10" x14ac:dyDescent="0.3">
      <c r="A649" s="62">
        <v>45577</v>
      </c>
      <c r="B649" s="63" t="s">
        <v>1535</v>
      </c>
      <c r="C649" s="64">
        <v>123457436</v>
      </c>
      <c r="D649" s="70" t="s">
        <v>697</v>
      </c>
      <c r="E649" s="111" t="s">
        <v>868</v>
      </c>
      <c r="F649" s="66">
        <f t="shared" ca="1" si="0"/>
        <v>303</v>
      </c>
      <c r="G649" s="67">
        <v>29</v>
      </c>
      <c r="H649" s="67">
        <v>12905</v>
      </c>
      <c r="I649" s="68">
        <v>123456789</v>
      </c>
      <c r="J649" s="69" t="s">
        <v>889</v>
      </c>
    </row>
    <row r="650" spans="1:10" x14ac:dyDescent="0.3">
      <c r="A650" s="62">
        <v>45578</v>
      </c>
      <c r="B650" s="63" t="s">
        <v>1536</v>
      </c>
      <c r="C650" s="64">
        <v>123457437</v>
      </c>
      <c r="D650" s="65" t="s">
        <v>698</v>
      </c>
      <c r="E650" s="53" t="s">
        <v>868</v>
      </c>
      <c r="F650" s="66">
        <f t="shared" ca="1" si="0"/>
        <v>489</v>
      </c>
      <c r="G650" s="67">
        <v>25</v>
      </c>
      <c r="H650" s="67">
        <v>7950</v>
      </c>
      <c r="I650" s="68">
        <v>123456789</v>
      </c>
      <c r="J650" s="69" t="s">
        <v>889</v>
      </c>
    </row>
    <row r="651" spans="1:10" x14ac:dyDescent="0.3">
      <c r="A651" s="62">
        <v>45579</v>
      </c>
      <c r="B651" s="63" t="s">
        <v>1537</v>
      </c>
      <c r="C651" s="64">
        <v>123457438</v>
      </c>
      <c r="D651" s="70" t="s">
        <v>699</v>
      </c>
      <c r="E651" s="111" t="s">
        <v>868</v>
      </c>
      <c r="F651" s="66">
        <f t="shared" ca="1" si="0"/>
        <v>291</v>
      </c>
      <c r="G651" s="67">
        <v>28</v>
      </c>
      <c r="H651" s="67">
        <v>13720</v>
      </c>
      <c r="I651" s="68">
        <v>123456789</v>
      </c>
      <c r="J651" s="69" t="s">
        <v>887</v>
      </c>
    </row>
    <row r="652" spans="1:10" x14ac:dyDescent="0.3">
      <c r="A652" s="62">
        <v>45580</v>
      </c>
      <c r="B652" s="63" t="s">
        <v>1538</v>
      </c>
      <c r="C652" s="64">
        <v>123457439</v>
      </c>
      <c r="D652" s="65" t="s">
        <v>700</v>
      </c>
      <c r="E652" s="53" t="s">
        <v>868</v>
      </c>
      <c r="F652" s="66">
        <f t="shared" ca="1" si="0"/>
        <v>470</v>
      </c>
      <c r="G652" s="67">
        <v>30</v>
      </c>
      <c r="H652" s="67">
        <v>7530</v>
      </c>
      <c r="I652" s="68">
        <v>123456789</v>
      </c>
      <c r="J652" s="69" t="s">
        <v>889</v>
      </c>
    </row>
    <row r="653" spans="1:10" x14ac:dyDescent="0.3">
      <c r="A653" s="62">
        <v>45581</v>
      </c>
      <c r="B653" s="63" t="s">
        <v>1539</v>
      </c>
      <c r="C653" s="64">
        <v>123457440</v>
      </c>
      <c r="D653" s="70" t="s">
        <v>701</v>
      </c>
      <c r="E653" s="111" t="s">
        <v>869</v>
      </c>
      <c r="F653" s="66">
        <f t="shared" ca="1" si="0"/>
        <v>351</v>
      </c>
      <c r="G653" s="67">
        <v>21</v>
      </c>
      <c r="H653" s="67">
        <v>6510</v>
      </c>
      <c r="I653" s="68">
        <v>123456789</v>
      </c>
      <c r="J653" s="69" t="s">
        <v>887</v>
      </c>
    </row>
    <row r="654" spans="1:10" x14ac:dyDescent="0.3">
      <c r="A654" s="62">
        <v>45582</v>
      </c>
      <c r="B654" s="63" t="s">
        <v>1540</v>
      </c>
      <c r="C654" s="64">
        <v>123457441</v>
      </c>
      <c r="D654" s="65" t="s">
        <v>702</v>
      </c>
      <c r="E654" s="53" t="s">
        <v>869</v>
      </c>
      <c r="F654" s="66">
        <f t="shared" ca="1" si="0"/>
        <v>430</v>
      </c>
      <c r="G654" s="67">
        <v>31</v>
      </c>
      <c r="H654" s="67">
        <v>15748</v>
      </c>
      <c r="I654" s="68">
        <v>123456789</v>
      </c>
      <c r="J654" s="69" t="s">
        <v>887</v>
      </c>
    </row>
    <row r="655" spans="1:10" x14ac:dyDescent="0.3">
      <c r="A655" s="62">
        <v>45583</v>
      </c>
      <c r="B655" s="63" t="s">
        <v>1541</v>
      </c>
      <c r="C655" s="64">
        <v>123457442</v>
      </c>
      <c r="D655" s="70" t="s">
        <v>703</v>
      </c>
      <c r="E655" s="111" t="s">
        <v>868</v>
      </c>
      <c r="F655" s="66">
        <f t="shared" ca="1" si="0"/>
        <v>270</v>
      </c>
      <c r="G655" s="67">
        <v>21</v>
      </c>
      <c r="H655" s="67">
        <v>7644</v>
      </c>
      <c r="I655" s="68">
        <v>123456789</v>
      </c>
      <c r="J655" s="69" t="s">
        <v>887</v>
      </c>
    </row>
    <row r="656" spans="1:10" x14ac:dyDescent="0.3">
      <c r="A656" s="62">
        <v>45584</v>
      </c>
      <c r="B656" s="63" t="s">
        <v>1542</v>
      </c>
      <c r="C656" s="64">
        <v>123457443</v>
      </c>
      <c r="D656" s="65" t="s">
        <v>704</v>
      </c>
      <c r="E656" s="53" t="s">
        <v>868</v>
      </c>
      <c r="F656" s="66">
        <f t="shared" ca="1" si="0"/>
        <v>267</v>
      </c>
      <c r="G656" s="67">
        <v>27</v>
      </c>
      <c r="H656" s="67">
        <v>7830</v>
      </c>
      <c r="I656" s="68">
        <v>123456789</v>
      </c>
      <c r="J656" s="69" t="s">
        <v>887</v>
      </c>
    </row>
    <row r="657" spans="1:10" x14ac:dyDescent="0.3">
      <c r="A657" s="62">
        <v>45585</v>
      </c>
      <c r="B657" s="63" t="s">
        <v>1543</v>
      </c>
      <c r="C657" s="64">
        <v>123457444</v>
      </c>
      <c r="D657" s="70" t="s">
        <v>705</v>
      </c>
      <c r="E657" s="111" t="s">
        <v>869</v>
      </c>
      <c r="F657" s="66">
        <f t="shared" ca="1" si="0"/>
        <v>471</v>
      </c>
      <c r="G657" s="67">
        <v>30</v>
      </c>
      <c r="H657" s="67">
        <v>14040</v>
      </c>
      <c r="I657" s="68">
        <v>123456789</v>
      </c>
      <c r="J657" s="69" t="s">
        <v>889</v>
      </c>
    </row>
    <row r="658" spans="1:10" x14ac:dyDescent="0.3">
      <c r="A658" s="62">
        <v>45586</v>
      </c>
      <c r="B658" s="63" t="s">
        <v>1544</v>
      </c>
      <c r="C658" s="64">
        <v>123457445</v>
      </c>
      <c r="D658" s="65" t="s">
        <v>706</v>
      </c>
      <c r="E658" s="53" t="s">
        <v>869</v>
      </c>
      <c r="F658" s="66">
        <f t="shared" ca="1" si="0"/>
        <v>296</v>
      </c>
      <c r="G658" s="67">
        <v>28</v>
      </c>
      <c r="H658" s="67">
        <v>7812</v>
      </c>
      <c r="I658" s="68">
        <v>123456789</v>
      </c>
      <c r="J658" s="69" t="s">
        <v>889</v>
      </c>
    </row>
    <row r="659" spans="1:10" x14ac:dyDescent="0.3">
      <c r="A659" s="62">
        <v>45587</v>
      </c>
      <c r="B659" s="63" t="s">
        <v>1545</v>
      </c>
      <c r="C659" s="64">
        <v>123457446</v>
      </c>
      <c r="D659" s="70" t="s">
        <v>707</v>
      </c>
      <c r="E659" s="111" t="s">
        <v>869</v>
      </c>
      <c r="F659" s="66">
        <f t="shared" ca="1" si="0"/>
        <v>363</v>
      </c>
      <c r="G659" s="67">
        <v>28</v>
      </c>
      <c r="H659" s="67">
        <v>13300</v>
      </c>
      <c r="I659" s="68">
        <v>123456789</v>
      </c>
      <c r="J659" s="69" t="s">
        <v>887</v>
      </c>
    </row>
    <row r="660" spans="1:10" x14ac:dyDescent="0.3">
      <c r="A660" s="62">
        <v>45588</v>
      </c>
      <c r="B660" s="63" t="s">
        <v>1546</v>
      </c>
      <c r="C660" s="64">
        <v>123457447</v>
      </c>
      <c r="D660" s="65" t="s">
        <v>708</v>
      </c>
      <c r="E660" s="53" t="s">
        <v>869</v>
      </c>
      <c r="F660" s="66">
        <f t="shared" ca="1" si="0"/>
        <v>259</v>
      </c>
      <c r="G660" s="67">
        <v>31</v>
      </c>
      <c r="H660" s="67">
        <v>15500</v>
      </c>
      <c r="I660" s="68">
        <v>123456789</v>
      </c>
      <c r="J660" s="69" t="s">
        <v>887</v>
      </c>
    </row>
    <row r="661" spans="1:10" x14ac:dyDescent="0.3">
      <c r="A661" s="62">
        <v>45589</v>
      </c>
      <c r="B661" s="63" t="s">
        <v>1547</v>
      </c>
      <c r="C661" s="64">
        <v>123457448</v>
      </c>
      <c r="D661" s="70" t="s">
        <v>709</v>
      </c>
      <c r="E661" s="111" t="s">
        <v>869</v>
      </c>
      <c r="F661" s="66">
        <f t="shared" ca="1" si="0"/>
        <v>483</v>
      </c>
      <c r="G661" s="67">
        <v>27</v>
      </c>
      <c r="H661" s="67">
        <v>7263</v>
      </c>
      <c r="I661" s="68">
        <v>123456789</v>
      </c>
      <c r="J661" s="69" t="s">
        <v>887</v>
      </c>
    </row>
    <row r="662" spans="1:10" x14ac:dyDescent="0.3">
      <c r="A662" s="62">
        <v>45590</v>
      </c>
      <c r="B662" s="63" t="s">
        <v>1548</v>
      </c>
      <c r="C662" s="64">
        <v>123457449</v>
      </c>
      <c r="D662" s="65" t="s">
        <v>710</v>
      </c>
      <c r="E662" s="53" t="s">
        <v>868</v>
      </c>
      <c r="F662" s="66">
        <f t="shared" ca="1" si="0"/>
        <v>437</v>
      </c>
      <c r="G662" s="67">
        <v>27</v>
      </c>
      <c r="H662" s="67">
        <v>7101</v>
      </c>
      <c r="I662" s="68">
        <v>123456789</v>
      </c>
      <c r="J662" s="69" t="s">
        <v>887</v>
      </c>
    </row>
    <row r="663" spans="1:10" x14ac:dyDescent="0.3">
      <c r="A663" s="62">
        <v>45591</v>
      </c>
      <c r="B663" s="63" t="s">
        <v>1549</v>
      </c>
      <c r="C663" s="64">
        <v>123457450</v>
      </c>
      <c r="D663" s="70" t="s">
        <v>711</v>
      </c>
      <c r="E663" s="111" t="s">
        <v>868</v>
      </c>
      <c r="F663" s="66">
        <f t="shared" ca="1" si="0"/>
        <v>303</v>
      </c>
      <c r="G663" s="67">
        <v>27</v>
      </c>
      <c r="H663" s="67">
        <v>11799</v>
      </c>
      <c r="I663" s="68">
        <v>123456789</v>
      </c>
      <c r="J663" s="69" t="s">
        <v>887</v>
      </c>
    </row>
    <row r="664" spans="1:10" x14ac:dyDescent="0.3">
      <c r="A664" s="62">
        <v>45592</v>
      </c>
      <c r="B664" s="63" t="s">
        <v>1550</v>
      </c>
      <c r="C664" s="64">
        <v>123457451</v>
      </c>
      <c r="D664" s="65" t="s">
        <v>712</v>
      </c>
      <c r="E664" s="53" t="s">
        <v>869</v>
      </c>
      <c r="F664" s="66">
        <f t="shared" ca="1" si="0"/>
        <v>368</v>
      </c>
      <c r="G664" s="67">
        <v>30</v>
      </c>
      <c r="H664" s="67">
        <v>10230</v>
      </c>
      <c r="I664" s="68">
        <v>123456789</v>
      </c>
      <c r="J664" s="69" t="s">
        <v>887</v>
      </c>
    </row>
    <row r="665" spans="1:10" x14ac:dyDescent="0.3">
      <c r="A665" s="62">
        <v>45593</v>
      </c>
      <c r="B665" s="63" t="s">
        <v>1551</v>
      </c>
      <c r="C665" s="64">
        <v>123457452</v>
      </c>
      <c r="D665" s="70" t="s">
        <v>713</v>
      </c>
      <c r="E665" s="111" t="s">
        <v>868</v>
      </c>
      <c r="F665" s="66">
        <f t="shared" ca="1" si="0"/>
        <v>330</v>
      </c>
      <c r="G665" s="67">
        <v>28</v>
      </c>
      <c r="H665" s="67">
        <v>7084</v>
      </c>
      <c r="I665" s="68">
        <v>123456789</v>
      </c>
      <c r="J665" s="69" t="s">
        <v>887</v>
      </c>
    </row>
    <row r="666" spans="1:10" x14ac:dyDescent="0.3">
      <c r="A666" s="62">
        <v>45594</v>
      </c>
      <c r="B666" s="63" t="s">
        <v>1552</v>
      </c>
      <c r="C666" s="64">
        <v>123457453</v>
      </c>
      <c r="D666" s="65" t="s">
        <v>714</v>
      </c>
      <c r="E666" s="53" t="s">
        <v>869</v>
      </c>
      <c r="F666" s="66">
        <f t="shared" ca="1" si="0"/>
        <v>427</v>
      </c>
      <c r="G666" s="67">
        <v>25</v>
      </c>
      <c r="H666" s="67">
        <v>6350</v>
      </c>
      <c r="I666" s="68">
        <v>123456789</v>
      </c>
      <c r="J666" s="69" t="s">
        <v>887</v>
      </c>
    </row>
    <row r="667" spans="1:10" x14ac:dyDescent="0.3">
      <c r="A667" s="62">
        <v>45595</v>
      </c>
      <c r="B667" s="63" t="s">
        <v>1553</v>
      </c>
      <c r="C667" s="64">
        <v>123457454</v>
      </c>
      <c r="D667" s="70" t="s">
        <v>715</v>
      </c>
      <c r="E667" s="111" t="s">
        <v>868</v>
      </c>
      <c r="F667" s="66">
        <f t="shared" ca="1" si="0"/>
        <v>386</v>
      </c>
      <c r="G667" s="67">
        <v>27</v>
      </c>
      <c r="H667" s="67">
        <v>7101</v>
      </c>
      <c r="I667" s="68">
        <v>123456789</v>
      </c>
      <c r="J667" s="69" t="s">
        <v>887</v>
      </c>
    </row>
    <row r="668" spans="1:10" x14ac:dyDescent="0.3">
      <c r="A668" s="62">
        <v>45596</v>
      </c>
      <c r="B668" s="63" t="s">
        <v>1554</v>
      </c>
      <c r="C668" s="64">
        <v>123457455</v>
      </c>
      <c r="D668" s="65" t="s">
        <v>716</v>
      </c>
      <c r="E668" s="53" t="s">
        <v>868</v>
      </c>
      <c r="F668" s="66">
        <f t="shared" ca="1" si="0"/>
        <v>302</v>
      </c>
      <c r="G668" s="67">
        <v>23</v>
      </c>
      <c r="H668" s="67">
        <v>10672</v>
      </c>
      <c r="I668" s="68">
        <v>123456789</v>
      </c>
      <c r="J668" s="69" t="s">
        <v>887</v>
      </c>
    </row>
    <row r="669" spans="1:10" x14ac:dyDescent="0.3">
      <c r="A669" s="62">
        <v>45597</v>
      </c>
      <c r="B669" s="63" t="s">
        <v>1555</v>
      </c>
      <c r="C669" s="64">
        <v>123457456</v>
      </c>
      <c r="D669" s="70" t="s">
        <v>717</v>
      </c>
      <c r="E669" s="111" t="s">
        <v>868</v>
      </c>
      <c r="F669" s="66">
        <f t="shared" ca="1" si="0"/>
        <v>251</v>
      </c>
      <c r="G669" s="67">
        <v>23</v>
      </c>
      <c r="H669" s="67">
        <v>6969</v>
      </c>
      <c r="I669" s="68">
        <v>123456789</v>
      </c>
      <c r="J669" s="69" t="s">
        <v>887</v>
      </c>
    </row>
    <row r="670" spans="1:10" x14ac:dyDescent="0.3">
      <c r="A670" s="62">
        <v>45598</v>
      </c>
      <c r="B670" s="63" t="s">
        <v>1556</v>
      </c>
      <c r="C670" s="64">
        <v>123457457</v>
      </c>
      <c r="D670" s="65" t="s">
        <v>718</v>
      </c>
      <c r="E670" s="53" t="s">
        <v>869</v>
      </c>
      <c r="F670" s="66">
        <f t="shared" ca="1" si="0"/>
        <v>256</v>
      </c>
      <c r="G670" s="67">
        <v>22</v>
      </c>
      <c r="H670" s="67">
        <v>8734</v>
      </c>
      <c r="I670" s="68">
        <v>123456789</v>
      </c>
      <c r="J670" s="69" t="s">
        <v>887</v>
      </c>
    </row>
    <row r="671" spans="1:10" x14ac:dyDescent="0.3">
      <c r="A671" s="62">
        <v>45599</v>
      </c>
      <c r="B671" s="63" t="s">
        <v>1557</v>
      </c>
      <c r="C671" s="64">
        <v>123457458</v>
      </c>
      <c r="D671" s="70" t="s">
        <v>719</v>
      </c>
      <c r="E671" s="111" t="s">
        <v>869</v>
      </c>
      <c r="F671" s="66">
        <f t="shared" ca="1" si="0"/>
        <v>484</v>
      </c>
      <c r="G671" s="67">
        <v>29</v>
      </c>
      <c r="H671" s="67">
        <v>14065</v>
      </c>
      <c r="I671" s="68">
        <v>123456789</v>
      </c>
      <c r="J671" s="69" t="s">
        <v>887</v>
      </c>
    </row>
    <row r="672" spans="1:10" x14ac:dyDescent="0.3">
      <c r="A672" s="62">
        <v>45600</v>
      </c>
      <c r="B672" s="63" t="s">
        <v>1558</v>
      </c>
      <c r="C672" s="64">
        <v>123457459</v>
      </c>
      <c r="D672" s="65" t="s">
        <v>720</v>
      </c>
      <c r="E672" s="53" t="s">
        <v>868</v>
      </c>
      <c r="F672" s="66">
        <f t="shared" ca="1" si="0"/>
        <v>338</v>
      </c>
      <c r="G672" s="67">
        <v>21</v>
      </c>
      <c r="H672" s="67">
        <v>8526</v>
      </c>
      <c r="I672" s="68">
        <v>123456789</v>
      </c>
      <c r="J672" s="69" t="s">
        <v>889</v>
      </c>
    </row>
    <row r="673" spans="1:10" x14ac:dyDescent="0.3">
      <c r="A673" s="62">
        <v>45601</v>
      </c>
      <c r="B673" s="63" t="s">
        <v>1559</v>
      </c>
      <c r="C673" s="64">
        <v>123457460</v>
      </c>
      <c r="D673" s="70" t="s">
        <v>721</v>
      </c>
      <c r="E673" s="111" t="s">
        <v>869</v>
      </c>
      <c r="F673" s="66">
        <f t="shared" ca="1" si="0"/>
        <v>463</v>
      </c>
      <c r="G673" s="67">
        <v>23</v>
      </c>
      <c r="H673" s="67">
        <v>9591</v>
      </c>
      <c r="I673" s="68">
        <v>123456789</v>
      </c>
      <c r="J673" s="69" t="s">
        <v>889</v>
      </c>
    </row>
    <row r="674" spans="1:10" x14ac:dyDescent="0.3">
      <c r="A674" s="62">
        <v>45602</v>
      </c>
      <c r="B674" s="63" t="s">
        <v>1560</v>
      </c>
      <c r="C674" s="64">
        <v>123457461</v>
      </c>
      <c r="D674" s="65" t="s">
        <v>722</v>
      </c>
      <c r="E674" s="53" t="s">
        <v>868</v>
      </c>
      <c r="F674" s="66">
        <f t="shared" ca="1" si="0"/>
        <v>307</v>
      </c>
      <c r="G674" s="67">
        <v>23</v>
      </c>
      <c r="H674" s="67">
        <v>10350</v>
      </c>
      <c r="I674" s="68">
        <v>123456789</v>
      </c>
      <c r="J674" s="69" t="s">
        <v>889</v>
      </c>
    </row>
    <row r="675" spans="1:10" x14ac:dyDescent="0.3">
      <c r="A675" s="62">
        <v>45603</v>
      </c>
      <c r="B675" s="63" t="s">
        <v>1561</v>
      </c>
      <c r="C675" s="64">
        <v>123457462</v>
      </c>
      <c r="D675" s="70" t="s">
        <v>723</v>
      </c>
      <c r="E675" s="111" t="s">
        <v>868</v>
      </c>
      <c r="F675" s="66">
        <f t="shared" ca="1" si="0"/>
        <v>397</v>
      </c>
      <c r="G675" s="67">
        <v>23</v>
      </c>
      <c r="H675" s="67">
        <v>10005</v>
      </c>
      <c r="I675" s="68">
        <v>123456789</v>
      </c>
      <c r="J675" s="69" t="s">
        <v>889</v>
      </c>
    </row>
    <row r="676" spans="1:10" x14ac:dyDescent="0.3">
      <c r="A676" s="62">
        <v>45604</v>
      </c>
      <c r="B676" s="63" t="s">
        <v>1562</v>
      </c>
      <c r="C676" s="64">
        <v>123457463</v>
      </c>
      <c r="D676" s="65" t="s">
        <v>724</v>
      </c>
      <c r="E676" s="53" t="s">
        <v>868</v>
      </c>
      <c r="F676" s="66">
        <f t="shared" ca="1" si="0"/>
        <v>429</v>
      </c>
      <c r="G676" s="67">
        <v>31</v>
      </c>
      <c r="H676" s="67">
        <v>11966</v>
      </c>
      <c r="I676" s="68">
        <v>123456789</v>
      </c>
      <c r="J676" s="69" t="s">
        <v>889</v>
      </c>
    </row>
    <row r="677" spans="1:10" x14ac:dyDescent="0.3">
      <c r="A677" s="62">
        <v>45605</v>
      </c>
      <c r="B677" s="63" t="s">
        <v>1563</v>
      </c>
      <c r="C677" s="64">
        <v>123457464</v>
      </c>
      <c r="D677" s="70" t="s">
        <v>725</v>
      </c>
      <c r="E677" s="111" t="s">
        <v>868</v>
      </c>
      <c r="F677" s="66">
        <f t="shared" ca="1" si="0"/>
        <v>251</v>
      </c>
      <c r="G677" s="67">
        <v>30</v>
      </c>
      <c r="H677" s="67">
        <v>14250</v>
      </c>
      <c r="I677" s="68">
        <v>123456789</v>
      </c>
      <c r="J677" s="69" t="s">
        <v>887</v>
      </c>
    </row>
    <row r="678" spans="1:10" x14ac:dyDescent="0.3">
      <c r="A678" s="62">
        <v>45606</v>
      </c>
      <c r="B678" s="63" t="s">
        <v>1564</v>
      </c>
      <c r="C678" s="64">
        <v>123457465</v>
      </c>
      <c r="D678" s="65" t="s">
        <v>726</v>
      </c>
      <c r="E678" s="53" t="s">
        <v>868</v>
      </c>
      <c r="F678" s="66">
        <f t="shared" ca="1" si="0"/>
        <v>441</v>
      </c>
      <c r="G678" s="67">
        <v>26</v>
      </c>
      <c r="H678" s="67">
        <v>11232</v>
      </c>
      <c r="I678" s="68">
        <v>123456789</v>
      </c>
      <c r="J678" s="69" t="s">
        <v>887</v>
      </c>
    </row>
    <row r="679" spans="1:10" x14ac:dyDescent="0.3">
      <c r="A679" s="62">
        <v>45607</v>
      </c>
      <c r="B679" s="63" t="s">
        <v>1565</v>
      </c>
      <c r="C679" s="64">
        <v>123457466</v>
      </c>
      <c r="D679" s="70" t="s">
        <v>727</v>
      </c>
      <c r="E679" s="111" t="s">
        <v>868</v>
      </c>
      <c r="F679" s="66">
        <f t="shared" ca="1" si="0"/>
        <v>386</v>
      </c>
      <c r="G679" s="67">
        <v>26</v>
      </c>
      <c r="H679" s="67">
        <v>10140</v>
      </c>
      <c r="I679" s="68">
        <v>123456789</v>
      </c>
      <c r="J679" s="69" t="s">
        <v>887</v>
      </c>
    </row>
    <row r="680" spans="1:10" x14ac:dyDescent="0.3">
      <c r="A680" s="62">
        <v>45608</v>
      </c>
      <c r="B680" s="63" t="s">
        <v>1566</v>
      </c>
      <c r="C680" s="64">
        <v>123457467</v>
      </c>
      <c r="D680" s="65" t="s">
        <v>728</v>
      </c>
      <c r="E680" s="53" t="s">
        <v>869</v>
      </c>
      <c r="F680" s="66">
        <f t="shared" ca="1" si="0"/>
        <v>509</v>
      </c>
      <c r="G680" s="67">
        <v>26</v>
      </c>
      <c r="H680" s="67">
        <v>6526</v>
      </c>
      <c r="I680" s="68">
        <v>123456789</v>
      </c>
      <c r="J680" s="69" t="s">
        <v>889</v>
      </c>
    </row>
    <row r="681" spans="1:10" x14ac:dyDescent="0.3">
      <c r="A681" s="62">
        <v>45609</v>
      </c>
      <c r="B681" s="63" t="s">
        <v>1567</v>
      </c>
      <c r="C681" s="64">
        <v>123457468</v>
      </c>
      <c r="D681" s="70" t="s">
        <v>729</v>
      </c>
      <c r="E681" s="111" t="s">
        <v>868</v>
      </c>
      <c r="F681" s="66">
        <f t="shared" ca="1" si="0"/>
        <v>458</v>
      </c>
      <c r="G681" s="67">
        <v>31</v>
      </c>
      <c r="H681" s="67">
        <v>10106</v>
      </c>
      <c r="I681" s="68">
        <v>123456789</v>
      </c>
      <c r="J681" s="69" t="s">
        <v>887</v>
      </c>
    </row>
    <row r="682" spans="1:10" x14ac:dyDescent="0.3">
      <c r="A682" s="62">
        <v>45610</v>
      </c>
      <c r="B682" s="63" t="s">
        <v>1568</v>
      </c>
      <c r="C682" s="64">
        <v>123457469</v>
      </c>
      <c r="D682" s="65" t="s">
        <v>730</v>
      </c>
      <c r="E682" s="53" t="s">
        <v>868</v>
      </c>
      <c r="F682" s="66">
        <f t="shared" ca="1" si="0"/>
        <v>412</v>
      </c>
      <c r="G682" s="67">
        <v>29</v>
      </c>
      <c r="H682" s="67">
        <v>10324</v>
      </c>
      <c r="I682" s="68">
        <v>123456789</v>
      </c>
      <c r="J682" s="69" t="s">
        <v>887</v>
      </c>
    </row>
    <row r="683" spans="1:10" x14ac:dyDescent="0.3">
      <c r="A683" s="62">
        <v>45611</v>
      </c>
      <c r="B683" s="63" t="s">
        <v>1569</v>
      </c>
      <c r="C683" s="64">
        <v>123457470</v>
      </c>
      <c r="D683" s="70" t="s">
        <v>731</v>
      </c>
      <c r="E683" s="111" t="s">
        <v>868</v>
      </c>
      <c r="F683" s="66">
        <f t="shared" ca="1" si="0"/>
        <v>338</v>
      </c>
      <c r="G683" s="67">
        <v>26</v>
      </c>
      <c r="H683" s="67">
        <v>10868</v>
      </c>
      <c r="I683" s="68">
        <v>123456789</v>
      </c>
      <c r="J683" s="69" t="s">
        <v>887</v>
      </c>
    </row>
    <row r="684" spans="1:10" x14ac:dyDescent="0.3">
      <c r="A684" s="62">
        <v>45612</v>
      </c>
      <c r="B684" s="63" t="s">
        <v>1570</v>
      </c>
      <c r="C684" s="64">
        <v>123457471</v>
      </c>
      <c r="D684" s="65" t="s">
        <v>732</v>
      </c>
      <c r="E684" s="53" t="s">
        <v>868</v>
      </c>
      <c r="F684" s="66">
        <f t="shared" ca="1" si="0"/>
        <v>407</v>
      </c>
      <c r="G684" s="67">
        <v>21</v>
      </c>
      <c r="H684" s="67">
        <v>6636</v>
      </c>
      <c r="I684" s="68">
        <v>123456789</v>
      </c>
      <c r="J684" s="69" t="s">
        <v>887</v>
      </c>
    </row>
    <row r="685" spans="1:10" x14ac:dyDescent="0.3">
      <c r="A685" s="62">
        <v>45613</v>
      </c>
      <c r="B685" s="63" t="s">
        <v>1571</v>
      </c>
      <c r="C685" s="64">
        <v>123457472</v>
      </c>
      <c r="D685" s="70" t="s">
        <v>733</v>
      </c>
      <c r="E685" s="111" t="s">
        <v>868</v>
      </c>
      <c r="F685" s="66">
        <f t="shared" ca="1" si="0"/>
        <v>435</v>
      </c>
      <c r="G685" s="67">
        <v>29</v>
      </c>
      <c r="H685" s="67">
        <v>8033</v>
      </c>
      <c r="I685" s="68">
        <v>123456789</v>
      </c>
      <c r="J685" s="69" t="s">
        <v>887</v>
      </c>
    </row>
    <row r="686" spans="1:10" x14ac:dyDescent="0.3">
      <c r="A686" s="62">
        <v>45614</v>
      </c>
      <c r="B686" s="63" t="s">
        <v>1572</v>
      </c>
      <c r="C686" s="64">
        <v>123457473</v>
      </c>
      <c r="D686" s="65" t="s">
        <v>734</v>
      </c>
      <c r="E686" s="53" t="s">
        <v>868</v>
      </c>
      <c r="F686" s="66">
        <f t="shared" ca="1" si="0"/>
        <v>305</v>
      </c>
      <c r="G686" s="67">
        <v>28</v>
      </c>
      <c r="H686" s="67">
        <v>10500</v>
      </c>
      <c r="I686" s="68">
        <v>123456789</v>
      </c>
      <c r="J686" s="69" t="s">
        <v>887</v>
      </c>
    </row>
    <row r="687" spans="1:10" x14ac:dyDescent="0.3">
      <c r="A687" s="62">
        <v>45615</v>
      </c>
      <c r="B687" s="63" t="s">
        <v>1573</v>
      </c>
      <c r="C687" s="64">
        <v>123457474</v>
      </c>
      <c r="D687" s="70" t="s">
        <v>735</v>
      </c>
      <c r="E687" s="111" t="s">
        <v>868</v>
      </c>
      <c r="F687" s="66">
        <f t="shared" ca="1" si="0"/>
        <v>353</v>
      </c>
      <c r="G687" s="67">
        <v>23</v>
      </c>
      <c r="H687" s="67">
        <v>7889</v>
      </c>
      <c r="I687" s="68">
        <v>123456789</v>
      </c>
      <c r="J687" s="69" t="s">
        <v>887</v>
      </c>
    </row>
    <row r="688" spans="1:10" x14ac:dyDescent="0.3">
      <c r="A688" s="62">
        <v>45616</v>
      </c>
      <c r="B688" s="63" t="s">
        <v>1574</v>
      </c>
      <c r="C688" s="64">
        <v>123457475</v>
      </c>
      <c r="D688" s="65" t="s">
        <v>736</v>
      </c>
      <c r="E688" s="53" t="s">
        <v>868</v>
      </c>
      <c r="F688" s="66">
        <f t="shared" ca="1" si="0"/>
        <v>384</v>
      </c>
      <c r="G688" s="67">
        <v>23</v>
      </c>
      <c r="H688" s="67">
        <v>6049</v>
      </c>
      <c r="I688" s="68">
        <v>123456789</v>
      </c>
      <c r="J688" s="69" t="s">
        <v>889</v>
      </c>
    </row>
    <row r="689" spans="1:10" x14ac:dyDescent="0.3">
      <c r="A689" s="62">
        <v>45617</v>
      </c>
      <c r="B689" s="63" t="s">
        <v>1575</v>
      </c>
      <c r="C689" s="64">
        <v>123457476</v>
      </c>
      <c r="D689" s="70" t="s">
        <v>737</v>
      </c>
      <c r="E689" s="111" t="s">
        <v>868</v>
      </c>
      <c r="F689" s="66">
        <f t="shared" ca="1" si="0"/>
        <v>261</v>
      </c>
      <c r="G689" s="67">
        <v>25</v>
      </c>
      <c r="H689" s="67">
        <v>7975</v>
      </c>
      <c r="I689" s="68">
        <v>123456789</v>
      </c>
      <c r="J689" s="69" t="s">
        <v>887</v>
      </c>
    </row>
    <row r="690" spans="1:10" x14ac:dyDescent="0.3">
      <c r="A690" s="62">
        <v>45618</v>
      </c>
      <c r="B690" s="63" t="s">
        <v>1576</v>
      </c>
      <c r="C690" s="64">
        <v>123457477</v>
      </c>
      <c r="D690" s="65" t="s">
        <v>738</v>
      </c>
      <c r="E690" s="53" t="s">
        <v>868</v>
      </c>
      <c r="F690" s="66">
        <f t="shared" ca="1" si="0"/>
        <v>271</v>
      </c>
      <c r="G690" s="67">
        <v>30</v>
      </c>
      <c r="H690" s="67">
        <v>8460</v>
      </c>
      <c r="I690" s="68">
        <v>123456789</v>
      </c>
      <c r="J690" s="69" t="s">
        <v>887</v>
      </c>
    </row>
    <row r="691" spans="1:10" x14ac:dyDescent="0.3">
      <c r="A691" s="62">
        <v>45619</v>
      </c>
      <c r="B691" s="63" t="s">
        <v>1577</v>
      </c>
      <c r="C691" s="64">
        <v>123457478</v>
      </c>
      <c r="D691" s="70" t="s">
        <v>739</v>
      </c>
      <c r="E691" s="111" t="s">
        <v>868</v>
      </c>
      <c r="F691" s="66">
        <f ca="1">RANDBETWEEN(250, 510)</f>
        <v>419</v>
      </c>
      <c r="G691" s="67">
        <v>22</v>
      </c>
      <c r="H691" s="67">
        <v>10406</v>
      </c>
      <c r="I691" s="68">
        <v>123456789</v>
      </c>
      <c r="J691" s="69" t="s">
        <v>889</v>
      </c>
    </row>
    <row r="692" spans="1:10" x14ac:dyDescent="0.3">
      <c r="A692" s="62">
        <v>45620</v>
      </c>
      <c r="B692" s="63" t="s">
        <v>1578</v>
      </c>
      <c r="C692" s="64">
        <v>123457479</v>
      </c>
      <c r="D692" s="65" t="s">
        <v>740</v>
      </c>
      <c r="E692" s="53" t="s">
        <v>869</v>
      </c>
      <c r="F692" s="66">
        <v>274</v>
      </c>
      <c r="G692" s="67">
        <v>28</v>
      </c>
      <c r="H692" s="67">
        <v>7672</v>
      </c>
      <c r="I692" s="68">
        <v>123456789</v>
      </c>
      <c r="J692" s="69" t="s">
        <v>887</v>
      </c>
    </row>
    <row r="693" spans="1:10" x14ac:dyDescent="0.3">
      <c r="A693" s="62">
        <v>45621</v>
      </c>
      <c r="B693" s="63" t="s">
        <v>1579</v>
      </c>
      <c r="C693" s="64">
        <v>123457480</v>
      </c>
      <c r="D693" s="70" t="s">
        <v>741</v>
      </c>
      <c r="E693" s="111" t="s">
        <v>869</v>
      </c>
      <c r="F693" s="66">
        <v>297</v>
      </c>
      <c r="G693" s="67">
        <v>26</v>
      </c>
      <c r="H693" s="67">
        <v>7722</v>
      </c>
      <c r="I693" s="68">
        <v>123456789</v>
      </c>
      <c r="J693" s="69" t="s">
        <v>887</v>
      </c>
    </row>
    <row r="694" spans="1:10" x14ac:dyDescent="0.3">
      <c r="A694" s="62">
        <v>45622</v>
      </c>
      <c r="B694" s="63" t="s">
        <v>1580</v>
      </c>
      <c r="C694" s="64">
        <v>123457481</v>
      </c>
      <c r="D694" s="65" t="s">
        <v>742</v>
      </c>
      <c r="E694" s="53" t="s">
        <v>868</v>
      </c>
      <c r="F694" s="66">
        <v>294</v>
      </c>
      <c r="G694" s="67">
        <v>28</v>
      </c>
      <c r="H694" s="67">
        <v>8232</v>
      </c>
      <c r="I694" s="68">
        <v>123456789</v>
      </c>
      <c r="J694" s="69" t="s">
        <v>889</v>
      </c>
    </row>
    <row r="695" spans="1:10" x14ac:dyDescent="0.3">
      <c r="A695" s="62">
        <v>45623</v>
      </c>
      <c r="B695" s="63" t="s">
        <v>1581</v>
      </c>
      <c r="C695" s="64">
        <v>123457482</v>
      </c>
      <c r="D695" s="70" t="s">
        <v>743</v>
      </c>
      <c r="E695" s="111" t="s">
        <v>868</v>
      </c>
      <c r="F695" s="66">
        <v>250</v>
      </c>
      <c r="G695" s="67">
        <v>25</v>
      </c>
      <c r="H695" s="67">
        <v>6250</v>
      </c>
      <c r="I695" s="68">
        <v>123456789</v>
      </c>
      <c r="J695" s="69" t="s">
        <v>887</v>
      </c>
    </row>
    <row r="696" spans="1:10" x14ac:dyDescent="0.3">
      <c r="A696" s="62">
        <v>45624</v>
      </c>
      <c r="B696" s="63" t="s">
        <v>1582</v>
      </c>
      <c r="C696" s="64">
        <v>123457483</v>
      </c>
      <c r="D696" s="65" t="s">
        <v>744</v>
      </c>
      <c r="E696" s="53" t="s">
        <v>868</v>
      </c>
      <c r="F696" s="66">
        <v>255</v>
      </c>
      <c r="G696" s="67">
        <v>28</v>
      </c>
      <c r="H696" s="67">
        <v>7140</v>
      </c>
      <c r="I696" s="68">
        <v>123456789</v>
      </c>
      <c r="J696" s="69" t="s">
        <v>887</v>
      </c>
    </row>
    <row r="697" spans="1:10" x14ac:dyDescent="0.3">
      <c r="A697" s="62">
        <v>45625</v>
      </c>
      <c r="B697" s="63" t="s">
        <v>1583</v>
      </c>
      <c r="C697" s="64">
        <v>123457484</v>
      </c>
      <c r="D697" s="70" t="s">
        <v>745</v>
      </c>
      <c r="E697" s="111" t="s">
        <v>869</v>
      </c>
      <c r="F697" s="66">
        <v>251</v>
      </c>
      <c r="G697" s="67">
        <v>26</v>
      </c>
      <c r="H697" s="67">
        <v>6526</v>
      </c>
      <c r="I697" s="68">
        <v>123456789</v>
      </c>
      <c r="J697" s="69" t="s">
        <v>887</v>
      </c>
    </row>
    <row r="698" spans="1:10" x14ac:dyDescent="0.3">
      <c r="A698" s="62">
        <v>45626</v>
      </c>
      <c r="B698" s="63" t="s">
        <v>1584</v>
      </c>
      <c r="C698" s="64">
        <v>123457485</v>
      </c>
      <c r="D698" s="65" t="s">
        <v>746</v>
      </c>
      <c r="E698" s="53" t="s">
        <v>869</v>
      </c>
      <c r="F698" s="66">
        <v>293</v>
      </c>
      <c r="G698" s="67">
        <v>21</v>
      </c>
      <c r="H698" s="67">
        <v>6153</v>
      </c>
      <c r="I698" s="68">
        <v>123456789</v>
      </c>
      <c r="J698" s="69" t="s">
        <v>887</v>
      </c>
    </row>
    <row r="699" spans="1:10" x14ac:dyDescent="0.3">
      <c r="A699" s="62">
        <v>45627</v>
      </c>
      <c r="B699" s="63" t="s">
        <v>1585</v>
      </c>
      <c r="C699" s="64">
        <v>123457486</v>
      </c>
      <c r="D699" s="70" t="s">
        <v>747</v>
      </c>
      <c r="E699" s="111" t="s">
        <v>869</v>
      </c>
      <c r="F699" s="66">
        <v>232</v>
      </c>
      <c r="G699" s="67">
        <v>21</v>
      </c>
      <c r="H699" s="67">
        <v>4872</v>
      </c>
      <c r="I699" s="68">
        <v>123456789</v>
      </c>
      <c r="J699" s="69" t="s">
        <v>889</v>
      </c>
    </row>
    <row r="700" spans="1:10" x14ac:dyDescent="0.3">
      <c r="A700" s="62">
        <v>45628</v>
      </c>
      <c r="B700" s="63" t="s">
        <v>1586</v>
      </c>
      <c r="C700" s="64">
        <v>123457487</v>
      </c>
      <c r="D700" s="65" t="s">
        <v>748</v>
      </c>
      <c r="E700" s="53" t="s">
        <v>868</v>
      </c>
      <c r="F700" s="66">
        <v>231</v>
      </c>
      <c r="G700" s="67">
        <v>26</v>
      </c>
      <c r="H700" s="67">
        <v>6006</v>
      </c>
      <c r="I700" s="68">
        <v>123456789</v>
      </c>
      <c r="J700" s="69" t="s">
        <v>889</v>
      </c>
    </row>
    <row r="701" spans="1:10" x14ac:dyDescent="0.3">
      <c r="A701" s="62">
        <v>45629</v>
      </c>
      <c r="B701" s="63" t="s">
        <v>1587</v>
      </c>
      <c r="C701" s="64">
        <v>123457488</v>
      </c>
      <c r="D701" s="70" t="s">
        <v>749</v>
      </c>
      <c r="E701" s="111" t="s">
        <v>868</v>
      </c>
      <c r="F701" s="66">
        <v>218</v>
      </c>
      <c r="G701" s="67">
        <v>21</v>
      </c>
      <c r="H701" s="67">
        <v>4578</v>
      </c>
      <c r="I701" s="68">
        <v>123456789</v>
      </c>
      <c r="J701" s="69" t="s">
        <v>887</v>
      </c>
    </row>
    <row r="702" spans="1:10" x14ac:dyDescent="0.3">
      <c r="A702" s="62">
        <v>45630</v>
      </c>
      <c r="B702" s="63" t="s">
        <v>1588</v>
      </c>
      <c r="C702" s="64">
        <v>123457489</v>
      </c>
      <c r="D702" s="65" t="s">
        <v>750</v>
      </c>
      <c r="E702" s="53" t="s">
        <v>868</v>
      </c>
      <c r="F702" s="66">
        <v>277</v>
      </c>
      <c r="G702" s="67">
        <v>31</v>
      </c>
      <c r="H702" s="67">
        <v>8587</v>
      </c>
      <c r="I702" s="68">
        <v>123456789</v>
      </c>
      <c r="J702" s="69" t="s">
        <v>889</v>
      </c>
    </row>
    <row r="703" spans="1:10" x14ac:dyDescent="0.3">
      <c r="A703" s="62">
        <v>45631</v>
      </c>
      <c r="B703" s="63" t="s">
        <v>1589</v>
      </c>
      <c r="C703" s="64">
        <v>123457490</v>
      </c>
      <c r="D703" s="70" t="s">
        <v>751</v>
      </c>
      <c r="E703" s="111" t="s">
        <v>868</v>
      </c>
      <c r="F703" s="66">
        <v>234</v>
      </c>
      <c r="G703" s="67">
        <v>30</v>
      </c>
      <c r="H703" s="67">
        <v>7020</v>
      </c>
      <c r="I703" s="68">
        <v>123456789</v>
      </c>
      <c r="J703" s="69" t="s">
        <v>887</v>
      </c>
    </row>
    <row r="704" spans="1:10" x14ac:dyDescent="0.3">
      <c r="A704" s="62">
        <v>45632</v>
      </c>
      <c r="B704" s="63" t="s">
        <v>1590</v>
      </c>
      <c r="C704" s="64">
        <v>123457491</v>
      </c>
      <c r="D704" s="65" t="s">
        <v>752</v>
      </c>
      <c r="E704" s="53" t="s">
        <v>868</v>
      </c>
      <c r="F704" s="66">
        <v>231</v>
      </c>
      <c r="G704" s="67">
        <v>30</v>
      </c>
      <c r="H704" s="67">
        <v>6930</v>
      </c>
      <c r="I704" s="68">
        <v>123456789</v>
      </c>
      <c r="J704" s="69" t="s">
        <v>889</v>
      </c>
    </row>
    <row r="705" spans="1:10" x14ac:dyDescent="0.3">
      <c r="A705" s="62">
        <v>45633</v>
      </c>
      <c r="B705" s="63" t="s">
        <v>1591</v>
      </c>
      <c r="C705" s="64">
        <v>123457492</v>
      </c>
      <c r="D705" s="70" t="s">
        <v>753</v>
      </c>
      <c r="E705" s="111" t="s">
        <v>868</v>
      </c>
      <c r="F705" s="66">
        <v>202</v>
      </c>
      <c r="G705" s="67">
        <v>26</v>
      </c>
      <c r="H705" s="67">
        <v>5252</v>
      </c>
      <c r="I705" s="68">
        <v>123456789</v>
      </c>
      <c r="J705" s="69" t="s">
        <v>889</v>
      </c>
    </row>
    <row r="706" spans="1:10" x14ac:dyDescent="0.3">
      <c r="A706" s="62">
        <v>45634</v>
      </c>
      <c r="B706" s="63" t="s">
        <v>1592</v>
      </c>
      <c r="C706" s="64">
        <v>123457493</v>
      </c>
      <c r="D706" s="65" t="s">
        <v>754</v>
      </c>
      <c r="E706" s="53" t="s">
        <v>869</v>
      </c>
      <c r="F706" s="66">
        <v>227</v>
      </c>
      <c r="G706" s="67">
        <v>30</v>
      </c>
      <c r="H706" s="67">
        <v>6810</v>
      </c>
      <c r="I706" s="68">
        <v>123456789</v>
      </c>
      <c r="J706" s="69" t="s">
        <v>887</v>
      </c>
    </row>
    <row r="707" spans="1:10" x14ac:dyDescent="0.3">
      <c r="A707" s="62">
        <v>45635</v>
      </c>
      <c r="B707" s="63" t="s">
        <v>1593</v>
      </c>
      <c r="C707" s="64">
        <v>123457494</v>
      </c>
      <c r="D707" s="70" t="s">
        <v>755</v>
      </c>
      <c r="E707" s="111" t="s">
        <v>868</v>
      </c>
      <c r="F707" s="66">
        <v>269</v>
      </c>
      <c r="G707" s="67">
        <v>30</v>
      </c>
      <c r="H707" s="67">
        <v>8070</v>
      </c>
      <c r="I707" s="68">
        <v>123456789</v>
      </c>
      <c r="J707" s="69" t="s">
        <v>889</v>
      </c>
    </row>
    <row r="708" spans="1:10" x14ac:dyDescent="0.3">
      <c r="A708" s="62">
        <v>45636</v>
      </c>
      <c r="B708" s="63" t="s">
        <v>1594</v>
      </c>
      <c r="C708" s="64">
        <v>123457495</v>
      </c>
      <c r="D708" s="65" t="s">
        <v>756</v>
      </c>
      <c r="E708" s="53" t="s">
        <v>868</v>
      </c>
      <c r="F708" s="66">
        <v>212</v>
      </c>
      <c r="G708" s="67">
        <v>28</v>
      </c>
      <c r="H708" s="67">
        <v>5936</v>
      </c>
      <c r="I708" s="68">
        <v>123456789</v>
      </c>
      <c r="J708" s="69" t="s">
        <v>887</v>
      </c>
    </row>
    <row r="709" spans="1:10" x14ac:dyDescent="0.3">
      <c r="A709" s="62">
        <v>45637</v>
      </c>
      <c r="B709" s="63" t="s">
        <v>1595</v>
      </c>
      <c r="C709" s="64">
        <v>123457496</v>
      </c>
      <c r="D709" s="70" t="s">
        <v>757</v>
      </c>
      <c r="E709" s="111" t="s">
        <v>868</v>
      </c>
      <c r="F709" s="66">
        <v>239</v>
      </c>
      <c r="G709" s="67">
        <v>21</v>
      </c>
      <c r="H709" s="67">
        <v>5019</v>
      </c>
      <c r="I709" s="68">
        <v>123456789</v>
      </c>
      <c r="J709" s="69" t="s">
        <v>889</v>
      </c>
    </row>
    <row r="710" spans="1:10" x14ac:dyDescent="0.3">
      <c r="A710" s="62">
        <v>45638</v>
      </c>
      <c r="B710" s="63" t="s">
        <v>1596</v>
      </c>
      <c r="C710" s="64">
        <v>123457497</v>
      </c>
      <c r="D710" s="65" t="s">
        <v>758</v>
      </c>
      <c r="E710" s="53" t="s">
        <v>868</v>
      </c>
      <c r="F710" s="66">
        <v>264</v>
      </c>
      <c r="G710" s="67">
        <v>31</v>
      </c>
      <c r="H710" s="67">
        <v>8184</v>
      </c>
      <c r="I710" s="68">
        <v>123456789</v>
      </c>
      <c r="J710" s="69" t="s">
        <v>887</v>
      </c>
    </row>
    <row r="711" spans="1:10" x14ac:dyDescent="0.3">
      <c r="A711" s="62">
        <v>45639</v>
      </c>
      <c r="B711" s="63" t="s">
        <v>1597</v>
      </c>
      <c r="C711" s="64">
        <v>123457498</v>
      </c>
      <c r="D711" s="70" t="s">
        <v>759</v>
      </c>
      <c r="E711" s="111" t="s">
        <v>869</v>
      </c>
      <c r="F711" s="66">
        <v>286</v>
      </c>
      <c r="G711" s="67">
        <v>29</v>
      </c>
      <c r="H711" s="67">
        <v>8294</v>
      </c>
      <c r="I711" s="68">
        <v>123456789</v>
      </c>
      <c r="J711" s="69" t="s">
        <v>887</v>
      </c>
    </row>
    <row r="712" spans="1:10" x14ac:dyDescent="0.3">
      <c r="A712" s="62">
        <v>45640</v>
      </c>
      <c r="B712" s="63" t="s">
        <v>1598</v>
      </c>
      <c r="C712" s="64">
        <v>123457499</v>
      </c>
      <c r="D712" s="65" t="s">
        <v>760</v>
      </c>
      <c r="E712" s="53" t="s">
        <v>868</v>
      </c>
      <c r="F712" s="66">
        <v>241</v>
      </c>
      <c r="G712" s="67">
        <v>21</v>
      </c>
      <c r="H712" s="67">
        <v>5061</v>
      </c>
      <c r="I712" s="68">
        <v>123456789</v>
      </c>
      <c r="J712" s="69" t="s">
        <v>889</v>
      </c>
    </row>
    <row r="713" spans="1:10" x14ac:dyDescent="0.3">
      <c r="A713" s="62">
        <v>45641</v>
      </c>
      <c r="B713" s="63" t="s">
        <v>1599</v>
      </c>
      <c r="C713" s="64">
        <v>123457500</v>
      </c>
      <c r="D713" s="70" t="s">
        <v>761</v>
      </c>
      <c r="E713" s="111" t="s">
        <v>869</v>
      </c>
      <c r="F713" s="66">
        <v>293</v>
      </c>
      <c r="G713" s="67">
        <v>26</v>
      </c>
      <c r="H713" s="67">
        <v>7618</v>
      </c>
      <c r="I713" s="68">
        <v>123456789</v>
      </c>
      <c r="J713" s="69" t="s">
        <v>887</v>
      </c>
    </row>
    <row r="714" spans="1:10" x14ac:dyDescent="0.3">
      <c r="A714" s="62">
        <v>45642</v>
      </c>
      <c r="B714" s="63" t="s">
        <v>1600</v>
      </c>
      <c r="C714" s="64">
        <v>123457501</v>
      </c>
      <c r="D714" s="65" t="s">
        <v>762</v>
      </c>
      <c r="E714" s="53" t="s">
        <v>868</v>
      </c>
      <c r="F714" s="66">
        <v>237</v>
      </c>
      <c r="G714" s="67">
        <v>29</v>
      </c>
      <c r="H714" s="67">
        <v>6873</v>
      </c>
      <c r="I714" s="68">
        <v>123456789</v>
      </c>
      <c r="J714" s="69" t="s">
        <v>887</v>
      </c>
    </row>
    <row r="715" spans="1:10" x14ac:dyDescent="0.3">
      <c r="A715" s="62">
        <v>45643</v>
      </c>
      <c r="B715" s="63" t="s">
        <v>1601</v>
      </c>
      <c r="C715" s="64">
        <v>123457502</v>
      </c>
      <c r="D715" s="70" t="s">
        <v>763</v>
      </c>
      <c r="E715" s="111" t="s">
        <v>869</v>
      </c>
      <c r="F715" s="66">
        <v>204</v>
      </c>
      <c r="G715" s="67">
        <v>25</v>
      </c>
      <c r="H715" s="67">
        <v>5100</v>
      </c>
      <c r="I715" s="68">
        <v>123456789</v>
      </c>
      <c r="J715" s="69" t="s">
        <v>889</v>
      </c>
    </row>
    <row r="716" spans="1:10" x14ac:dyDescent="0.3">
      <c r="A716" s="62">
        <v>45644</v>
      </c>
      <c r="B716" s="63" t="s">
        <v>1602</v>
      </c>
      <c r="C716" s="64">
        <v>123457503</v>
      </c>
      <c r="D716" s="65" t="s">
        <v>764</v>
      </c>
      <c r="E716" s="53" t="s">
        <v>868</v>
      </c>
      <c r="F716" s="66">
        <v>285</v>
      </c>
      <c r="G716" s="67">
        <v>26</v>
      </c>
      <c r="H716" s="67">
        <v>7410</v>
      </c>
      <c r="I716" s="68">
        <v>123456789</v>
      </c>
      <c r="J716" s="69" t="s">
        <v>887</v>
      </c>
    </row>
    <row r="717" spans="1:10" x14ac:dyDescent="0.3">
      <c r="A717" s="62">
        <v>45645</v>
      </c>
      <c r="B717" s="63" t="s">
        <v>1603</v>
      </c>
      <c r="C717" s="64">
        <v>123457504</v>
      </c>
      <c r="D717" s="70" t="s">
        <v>765</v>
      </c>
      <c r="E717" s="111" t="s">
        <v>868</v>
      </c>
      <c r="F717" s="66">
        <v>247</v>
      </c>
      <c r="G717" s="67">
        <v>27</v>
      </c>
      <c r="H717" s="67">
        <v>6669</v>
      </c>
      <c r="I717" s="68">
        <v>123456789</v>
      </c>
      <c r="J717" s="69" t="s">
        <v>887</v>
      </c>
    </row>
    <row r="718" spans="1:10" x14ac:dyDescent="0.3">
      <c r="A718" s="62">
        <v>45646</v>
      </c>
      <c r="B718" s="63" t="s">
        <v>1604</v>
      </c>
      <c r="C718" s="64">
        <v>123457505</v>
      </c>
      <c r="D718" s="65" t="s">
        <v>766</v>
      </c>
      <c r="E718" s="53" t="s">
        <v>868</v>
      </c>
      <c r="F718" s="66">
        <v>227</v>
      </c>
      <c r="G718" s="67">
        <v>27</v>
      </c>
      <c r="H718" s="67">
        <v>6129</v>
      </c>
      <c r="I718" s="68">
        <v>123456789</v>
      </c>
      <c r="J718" s="69" t="s">
        <v>889</v>
      </c>
    </row>
    <row r="719" spans="1:10" x14ac:dyDescent="0.3">
      <c r="A719" s="62">
        <v>45647</v>
      </c>
      <c r="B719" s="63" t="s">
        <v>1605</v>
      </c>
      <c r="C719" s="64">
        <v>123457506</v>
      </c>
      <c r="D719" s="70" t="s">
        <v>767</v>
      </c>
      <c r="E719" s="111" t="s">
        <v>868</v>
      </c>
      <c r="F719" s="66">
        <v>266</v>
      </c>
      <c r="G719" s="67">
        <v>26</v>
      </c>
      <c r="H719" s="67">
        <v>6916</v>
      </c>
      <c r="I719" s="68">
        <v>123456789</v>
      </c>
      <c r="J719" s="69" t="s">
        <v>887</v>
      </c>
    </row>
    <row r="720" spans="1:10" x14ac:dyDescent="0.3">
      <c r="A720" s="62">
        <v>45648</v>
      </c>
      <c r="B720" s="63" t="s">
        <v>1606</v>
      </c>
      <c r="C720" s="64">
        <v>123457507</v>
      </c>
      <c r="D720" s="65" t="s">
        <v>768</v>
      </c>
      <c r="E720" s="53" t="s">
        <v>869</v>
      </c>
      <c r="F720" s="66">
        <v>296</v>
      </c>
      <c r="G720" s="67">
        <v>24</v>
      </c>
      <c r="H720" s="67">
        <v>7104</v>
      </c>
      <c r="I720" s="68">
        <v>123456789</v>
      </c>
      <c r="J720" s="69" t="s">
        <v>887</v>
      </c>
    </row>
    <row r="721" spans="1:10" x14ac:dyDescent="0.3">
      <c r="A721" s="62">
        <v>45649</v>
      </c>
      <c r="B721" s="63" t="s">
        <v>1607</v>
      </c>
      <c r="C721" s="64">
        <v>123457508</v>
      </c>
      <c r="D721" s="70" t="s">
        <v>769</v>
      </c>
      <c r="E721" s="111" t="s">
        <v>869</v>
      </c>
      <c r="F721" s="66">
        <v>222</v>
      </c>
      <c r="G721" s="67">
        <v>24</v>
      </c>
      <c r="H721" s="67">
        <v>5328</v>
      </c>
      <c r="I721" s="68">
        <v>123456789</v>
      </c>
      <c r="J721" s="69" t="s">
        <v>889</v>
      </c>
    </row>
    <row r="722" spans="1:10" x14ac:dyDescent="0.3">
      <c r="A722" s="62">
        <v>45650</v>
      </c>
      <c r="B722" s="63" t="s">
        <v>1608</v>
      </c>
      <c r="C722" s="64">
        <v>123457509</v>
      </c>
      <c r="D722" s="65" t="s">
        <v>770</v>
      </c>
      <c r="E722" s="53" t="s">
        <v>868</v>
      </c>
      <c r="F722" s="66">
        <v>234</v>
      </c>
      <c r="G722" s="67">
        <v>28</v>
      </c>
      <c r="H722" s="67">
        <v>6552</v>
      </c>
      <c r="I722" s="68">
        <v>123456789</v>
      </c>
      <c r="J722" s="69" t="s">
        <v>887</v>
      </c>
    </row>
    <row r="723" spans="1:10" x14ac:dyDescent="0.3">
      <c r="A723" s="62">
        <v>45651</v>
      </c>
      <c r="B723" s="63" t="s">
        <v>1609</v>
      </c>
      <c r="C723" s="64">
        <v>123457510</v>
      </c>
      <c r="D723" s="70" t="s">
        <v>771</v>
      </c>
      <c r="E723" s="111" t="s">
        <v>869</v>
      </c>
      <c r="F723" s="66">
        <v>261</v>
      </c>
      <c r="G723" s="67">
        <v>23</v>
      </c>
      <c r="H723" s="67">
        <v>6003</v>
      </c>
      <c r="I723" s="68">
        <v>123456789</v>
      </c>
      <c r="J723" s="69" t="s">
        <v>889</v>
      </c>
    </row>
    <row r="724" spans="1:10" x14ac:dyDescent="0.3">
      <c r="A724" s="62">
        <v>45652</v>
      </c>
      <c r="B724" s="63" t="s">
        <v>1610</v>
      </c>
      <c r="C724" s="64">
        <v>123457511</v>
      </c>
      <c r="D724" s="65" t="s">
        <v>772</v>
      </c>
      <c r="E724" s="53" t="s">
        <v>868</v>
      </c>
      <c r="F724" s="66">
        <v>290</v>
      </c>
      <c r="G724" s="67">
        <v>28</v>
      </c>
      <c r="H724" s="67">
        <v>8120</v>
      </c>
      <c r="I724" s="68">
        <v>123456789</v>
      </c>
      <c r="J724" s="69" t="s">
        <v>889</v>
      </c>
    </row>
    <row r="725" spans="1:10" x14ac:dyDescent="0.3">
      <c r="A725" s="62">
        <v>45653</v>
      </c>
      <c r="B725" s="63" t="s">
        <v>1611</v>
      </c>
      <c r="C725" s="64">
        <v>123457512</v>
      </c>
      <c r="D725" s="70" t="s">
        <v>773</v>
      </c>
      <c r="E725" s="111" t="s">
        <v>868</v>
      </c>
      <c r="F725" s="66">
        <v>202</v>
      </c>
      <c r="G725" s="67">
        <v>31</v>
      </c>
      <c r="H725" s="67">
        <v>6262</v>
      </c>
      <c r="I725" s="68">
        <v>123456789</v>
      </c>
      <c r="J725" s="69" t="s">
        <v>887</v>
      </c>
    </row>
    <row r="726" spans="1:10" x14ac:dyDescent="0.3">
      <c r="A726" s="62">
        <v>45654</v>
      </c>
      <c r="B726" s="63" t="s">
        <v>1612</v>
      </c>
      <c r="C726" s="64">
        <v>123457513</v>
      </c>
      <c r="D726" s="65" t="s">
        <v>774</v>
      </c>
      <c r="E726" s="53" t="s">
        <v>868</v>
      </c>
      <c r="F726" s="66">
        <v>272</v>
      </c>
      <c r="G726" s="67">
        <v>25</v>
      </c>
      <c r="H726" s="67">
        <v>6800</v>
      </c>
      <c r="I726" s="68">
        <v>123456789</v>
      </c>
      <c r="J726" s="69" t="s">
        <v>889</v>
      </c>
    </row>
    <row r="727" spans="1:10" x14ac:dyDescent="0.3">
      <c r="A727" s="62">
        <v>45655</v>
      </c>
      <c r="B727" s="63" t="s">
        <v>1613</v>
      </c>
      <c r="C727" s="64">
        <v>123457514</v>
      </c>
      <c r="D727" s="70" t="s">
        <v>775</v>
      </c>
      <c r="E727" s="111" t="s">
        <v>868</v>
      </c>
      <c r="F727" s="66">
        <v>244</v>
      </c>
      <c r="G727" s="67">
        <v>25</v>
      </c>
      <c r="H727" s="67">
        <v>6100</v>
      </c>
      <c r="I727" s="68">
        <v>123456789</v>
      </c>
      <c r="J727" s="69" t="s">
        <v>889</v>
      </c>
    </row>
    <row r="728" spans="1:10" x14ac:dyDescent="0.3">
      <c r="A728" s="62">
        <v>45656</v>
      </c>
      <c r="B728" s="63" t="s">
        <v>1614</v>
      </c>
      <c r="C728" s="64">
        <v>123457515</v>
      </c>
      <c r="D728" s="65" t="s">
        <v>776</v>
      </c>
      <c r="E728" s="53" t="s">
        <v>869</v>
      </c>
      <c r="F728" s="66">
        <v>275</v>
      </c>
      <c r="G728" s="67">
        <v>24</v>
      </c>
      <c r="H728" s="67">
        <v>6600</v>
      </c>
      <c r="I728" s="68">
        <v>123456789</v>
      </c>
      <c r="J728" s="69" t="s">
        <v>887</v>
      </c>
    </row>
    <row r="729" spans="1:10" x14ac:dyDescent="0.3">
      <c r="A729" s="62">
        <v>45657</v>
      </c>
      <c r="B729" s="63" t="s">
        <v>1615</v>
      </c>
      <c r="C729" s="64">
        <v>123457516</v>
      </c>
      <c r="D729" s="70" t="s">
        <v>777</v>
      </c>
      <c r="E729" s="111" t="s">
        <v>869</v>
      </c>
      <c r="F729" s="66">
        <v>226</v>
      </c>
      <c r="G729" s="67">
        <v>31</v>
      </c>
      <c r="H729" s="67">
        <v>7006</v>
      </c>
      <c r="I729" s="68">
        <v>123456789</v>
      </c>
      <c r="J729" s="69" t="s">
        <v>887</v>
      </c>
    </row>
    <row r="730" spans="1:10" x14ac:dyDescent="0.3">
      <c r="A730" s="62">
        <v>45658</v>
      </c>
      <c r="B730" s="63" t="s">
        <v>1616</v>
      </c>
      <c r="C730" s="64">
        <v>123457517</v>
      </c>
      <c r="D730" s="65" t="s">
        <v>778</v>
      </c>
      <c r="E730" s="53" t="s">
        <v>868</v>
      </c>
      <c r="F730" s="66">
        <v>952</v>
      </c>
      <c r="G730" s="67">
        <v>29</v>
      </c>
      <c r="H730" s="67">
        <v>27608</v>
      </c>
      <c r="I730" s="68">
        <v>123456789</v>
      </c>
      <c r="J730" s="69" t="s">
        <v>887</v>
      </c>
    </row>
    <row r="731" spans="1:10" x14ac:dyDescent="0.3">
      <c r="A731" s="62">
        <v>45659</v>
      </c>
      <c r="B731" s="63" t="s">
        <v>1617</v>
      </c>
      <c r="C731" s="64">
        <v>123457518</v>
      </c>
      <c r="D731" s="70" t="s">
        <v>779</v>
      </c>
      <c r="E731" s="111" t="s">
        <v>868</v>
      </c>
      <c r="F731" s="66">
        <v>773</v>
      </c>
      <c r="G731" s="67">
        <v>28</v>
      </c>
      <c r="H731" s="67">
        <v>21644</v>
      </c>
      <c r="I731" s="68">
        <v>123456789</v>
      </c>
      <c r="J731" s="69" t="s">
        <v>887</v>
      </c>
    </row>
    <row r="732" spans="1:10" x14ac:dyDescent="0.3">
      <c r="A732" s="62">
        <v>45660</v>
      </c>
      <c r="B732" s="63" t="s">
        <v>1618</v>
      </c>
      <c r="C732" s="64">
        <v>123457519</v>
      </c>
      <c r="D732" s="65" t="s">
        <v>780</v>
      </c>
      <c r="E732" s="53" t="s">
        <v>868</v>
      </c>
      <c r="F732" s="66">
        <v>815</v>
      </c>
      <c r="G732" s="67">
        <v>22</v>
      </c>
      <c r="H732" s="67">
        <v>17930</v>
      </c>
      <c r="I732" s="68">
        <v>123456789</v>
      </c>
      <c r="J732" s="69" t="s">
        <v>889</v>
      </c>
    </row>
    <row r="733" spans="1:10" x14ac:dyDescent="0.3">
      <c r="A733" s="62">
        <v>45661</v>
      </c>
      <c r="B733" s="63" t="s">
        <v>1619</v>
      </c>
      <c r="C733" s="64">
        <v>123457520</v>
      </c>
      <c r="D733" s="70" t="s">
        <v>781</v>
      </c>
      <c r="E733" s="111" t="s">
        <v>868</v>
      </c>
      <c r="F733" s="66">
        <v>898</v>
      </c>
      <c r="G733" s="67">
        <v>28</v>
      </c>
      <c r="H733" s="67">
        <v>25144</v>
      </c>
      <c r="I733" s="68">
        <v>123456789</v>
      </c>
      <c r="J733" s="69" t="s">
        <v>887</v>
      </c>
    </row>
    <row r="734" spans="1:10" x14ac:dyDescent="0.3">
      <c r="A734" s="62">
        <v>45662</v>
      </c>
      <c r="B734" s="63" t="s">
        <v>1620</v>
      </c>
      <c r="C734" s="64">
        <v>123457521</v>
      </c>
      <c r="D734" s="65" t="s">
        <v>782</v>
      </c>
      <c r="E734" s="53" t="s">
        <v>868</v>
      </c>
      <c r="F734" s="66">
        <v>567</v>
      </c>
      <c r="G734" s="67">
        <v>25</v>
      </c>
      <c r="H734" s="67">
        <v>14175</v>
      </c>
      <c r="I734" s="68">
        <v>123456789</v>
      </c>
      <c r="J734" s="69" t="s">
        <v>887</v>
      </c>
    </row>
    <row r="735" spans="1:10" x14ac:dyDescent="0.3">
      <c r="A735" s="62">
        <v>45663</v>
      </c>
      <c r="B735" s="63" t="s">
        <v>1621</v>
      </c>
      <c r="C735" s="64">
        <v>123457522</v>
      </c>
      <c r="D735" s="70" t="s">
        <v>783</v>
      </c>
      <c r="E735" s="111" t="s">
        <v>868</v>
      </c>
      <c r="F735" s="66">
        <v>569</v>
      </c>
      <c r="G735" s="67">
        <v>27</v>
      </c>
      <c r="H735" s="67">
        <v>15363</v>
      </c>
      <c r="I735" s="68">
        <v>123456789</v>
      </c>
      <c r="J735" s="69" t="s">
        <v>887</v>
      </c>
    </row>
    <row r="736" spans="1:10" x14ac:dyDescent="0.3">
      <c r="A736" s="62">
        <v>45664</v>
      </c>
      <c r="B736" s="63" t="s">
        <v>1622</v>
      </c>
      <c r="C736" s="64">
        <v>123457523</v>
      </c>
      <c r="D736" s="65" t="s">
        <v>784</v>
      </c>
      <c r="E736" s="53" t="s">
        <v>868</v>
      </c>
      <c r="F736" s="66">
        <v>594</v>
      </c>
      <c r="G736" s="67">
        <v>26</v>
      </c>
      <c r="H736" s="67">
        <v>15444</v>
      </c>
      <c r="I736" s="68">
        <v>123456789</v>
      </c>
      <c r="J736" s="69" t="s">
        <v>887</v>
      </c>
    </row>
    <row r="737" spans="1:10" x14ac:dyDescent="0.3">
      <c r="A737" s="62">
        <v>45665</v>
      </c>
      <c r="B737" s="63" t="s">
        <v>1623</v>
      </c>
      <c r="C737" s="64">
        <v>123457524</v>
      </c>
      <c r="D737" s="70" t="s">
        <v>785</v>
      </c>
      <c r="E737" s="111" t="s">
        <v>868</v>
      </c>
      <c r="F737" s="66">
        <v>703</v>
      </c>
      <c r="G737" s="67">
        <v>22</v>
      </c>
      <c r="H737" s="67">
        <v>15466</v>
      </c>
      <c r="I737" s="68">
        <v>123456789</v>
      </c>
      <c r="J737" s="69" t="s">
        <v>887</v>
      </c>
    </row>
    <row r="738" spans="1:10" x14ac:dyDescent="0.3">
      <c r="A738" s="62">
        <v>45666</v>
      </c>
      <c r="B738" s="63" t="s">
        <v>1624</v>
      </c>
      <c r="C738" s="64">
        <v>123457525</v>
      </c>
      <c r="D738" s="65" t="s">
        <v>786</v>
      </c>
      <c r="E738" s="53" t="s">
        <v>868</v>
      </c>
      <c r="F738" s="66">
        <v>929</v>
      </c>
      <c r="G738" s="67">
        <v>31</v>
      </c>
      <c r="H738" s="67">
        <v>28799</v>
      </c>
      <c r="I738" s="68">
        <v>123456789</v>
      </c>
      <c r="J738" s="69" t="s">
        <v>889</v>
      </c>
    </row>
    <row r="739" spans="1:10" x14ac:dyDescent="0.3">
      <c r="A739" s="62">
        <v>45667</v>
      </c>
      <c r="B739" s="63" t="s">
        <v>1625</v>
      </c>
      <c r="C739" s="64">
        <v>123457526</v>
      </c>
      <c r="D739" s="70" t="s">
        <v>787</v>
      </c>
      <c r="E739" s="111" t="s">
        <v>868</v>
      </c>
      <c r="F739" s="66">
        <v>595</v>
      </c>
      <c r="G739" s="67">
        <v>30</v>
      </c>
      <c r="H739" s="67">
        <v>17850</v>
      </c>
      <c r="I739" s="68">
        <v>123456789</v>
      </c>
      <c r="J739" s="69" t="s">
        <v>887</v>
      </c>
    </row>
    <row r="740" spans="1:10" x14ac:dyDescent="0.3">
      <c r="A740" s="62">
        <v>45668</v>
      </c>
      <c r="B740" s="63" t="s">
        <v>1626</v>
      </c>
      <c r="C740" s="64">
        <v>123457527</v>
      </c>
      <c r="D740" s="65" t="s">
        <v>788</v>
      </c>
      <c r="E740" s="53" t="s">
        <v>868</v>
      </c>
      <c r="F740" s="66">
        <v>919</v>
      </c>
      <c r="G740" s="67">
        <v>28</v>
      </c>
      <c r="H740" s="67">
        <v>25732</v>
      </c>
      <c r="I740" s="68">
        <v>123456789</v>
      </c>
      <c r="J740" s="69" t="s">
        <v>887</v>
      </c>
    </row>
    <row r="741" spans="1:10" x14ac:dyDescent="0.3">
      <c r="A741" s="62">
        <v>45669</v>
      </c>
      <c r="B741" s="63" t="s">
        <v>1627</v>
      </c>
      <c r="C741" s="64">
        <v>123457528</v>
      </c>
      <c r="D741" s="70" t="s">
        <v>789</v>
      </c>
      <c r="E741" s="111" t="s">
        <v>869</v>
      </c>
      <c r="F741" s="66">
        <v>959</v>
      </c>
      <c r="G741" s="67">
        <v>28</v>
      </c>
      <c r="H741" s="67">
        <v>26852</v>
      </c>
      <c r="I741" s="68">
        <v>123456789</v>
      </c>
      <c r="J741" s="69" t="s">
        <v>887</v>
      </c>
    </row>
    <row r="742" spans="1:10" x14ac:dyDescent="0.3">
      <c r="A742" s="62">
        <v>45670</v>
      </c>
      <c r="B742" s="63" t="s">
        <v>1628</v>
      </c>
      <c r="C742" s="64">
        <v>123457529</v>
      </c>
      <c r="D742" s="65" t="s">
        <v>790</v>
      </c>
      <c r="E742" s="53" t="s">
        <v>868</v>
      </c>
      <c r="F742" s="66">
        <v>755</v>
      </c>
      <c r="G742" s="67">
        <v>29</v>
      </c>
      <c r="H742" s="67">
        <v>21895</v>
      </c>
      <c r="I742" s="68">
        <v>123456789</v>
      </c>
      <c r="J742" s="69" t="s">
        <v>887</v>
      </c>
    </row>
    <row r="743" spans="1:10" x14ac:dyDescent="0.3">
      <c r="A743" s="62">
        <v>45671</v>
      </c>
      <c r="B743" s="63" t="s">
        <v>1629</v>
      </c>
      <c r="C743" s="64">
        <v>123457530</v>
      </c>
      <c r="D743" s="70" t="s">
        <v>791</v>
      </c>
      <c r="E743" s="111" t="s">
        <v>869</v>
      </c>
      <c r="F743" s="66">
        <v>508</v>
      </c>
      <c r="G743" s="67">
        <v>27</v>
      </c>
      <c r="H743" s="67">
        <v>13716</v>
      </c>
      <c r="I743" s="68">
        <v>123456789</v>
      </c>
      <c r="J743" s="69" t="s">
        <v>887</v>
      </c>
    </row>
    <row r="744" spans="1:10" x14ac:dyDescent="0.3">
      <c r="A744" s="62">
        <v>45672</v>
      </c>
      <c r="B744" s="63" t="s">
        <v>1630</v>
      </c>
      <c r="C744" s="64">
        <v>123457531</v>
      </c>
      <c r="D744" s="65" t="s">
        <v>792</v>
      </c>
      <c r="E744" s="53" t="s">
        <v>868</v>
      </c>
      <c r="F744" s="66">
        <v>993</v>
      </c>
      <c r="G744" s="67">
        <v>27</v>
      </c>
      <c r="H744" s="67">
        <v>26811</v>
      </c>
      <c r="I744" s="68">
        <v>123456789</v>
      </c>
      <c r="J744" s="69" t="s">
        <v>887</v>
      </c>
    </row>
    <row r="745" spans="1:10" x14ac:dyDescent="0.3">
      <c r="A745" s="62">
        <v>45673</v>
      </c>
      <c r="B745" s="63" t="s">
        <v>1631</v>
      </c>
      <c r="C745" s="64">
        <v>123457532</v>
      </c>
      <c r="D745" s="70" t="s">
        <v>793</v>
      </c>
      <c r="E745" s="111" t="s">
        <v>868</v>
      </c>
      <c r="F745" s="66">
        <v>642</v>
      </c>
      <c r="G745" s="67">
        <v>22</v>
      </c>
      <c r="H745" s="67">
        <v>14124</v>
      </c>
      <c r="I745" s="68">
        <v>123456789</v>
      </c>
      <c r="J745" s="69" t="s">
        <v>887</v>
      </c>
    </row>
    <row r="746" spans="1:10" x14ac:dyDescent="0.3">
      <c r="A746" s="62">
        <v>45674</v>
      </c>
      <c r="B746" s="63" t="s">
        <v>1632</v>
      </c>
      <c r="C746" s="64">
        <v>123457533</v>
      </c>
      <c r="D746" s="65" t="s">
        <v>794</v>
      </c>
      <c r="E746" s="53" t="s">
        <v>868</v>
      </c>
      <c r="F746" s="66">
        <v>790</v>
      </c>
      <c r="G746" s="67">
        <v>21</v>
      </c>
      <c r="H746" s="67">
        <v>16590</v>
      </c>
      <c r="I746" s="68">
        <v>123456789</v>
      </c>
      <c r="J746" s="69" t="s">
        <v>889</v>
      </c>
    </row>
    <row r="747" spans="1:10" x14ac:dyDescent="0.3">
      <c r="A747" s="62">
        <v>45675</v>
      </c>
      <c r="B747" s="63" t="s">
        <v>1633</v>
      </c>
      <c r="C747" s="64">
        <v>123457534</v>
      </c>
      <c r="D747" s="70" t="s">
        <v>795</v>
      </c>
      <c r="E747" s="111" t="s">
        <v>868</v>
      </c>
      <c r="F747" s="66">
        <v>627</v>
      </c>
      <c r="G747" s="67">
        <v>29</v>
      </c>
      <c r="H747" s="67">
        <v>18183</v>
      </c>
      <c r="I747" s="68">
        <v>123456789</v>
      </c>
      <c r="J747" s="69" t="s">
        <v>887</v>
      </c>
    </row>
    <row r="748" spans="1:10" x14ac:dyDescent="0.3">
      <c r="A748" s="62">
        <v>45676</v>
      </c>
      <c r="B748" s="63" t="s">
        <v>1634</v>
      </c>
      <c r="C748" s="64">
        <v>123457535</v>
      </c>
      <c r="D748" s="65" t="s">
        <v>796</v>
      </c>
      <c r="E748" s="53" t="s">
        <v>868</v>
      </c>
      <c r="F748" s="66">
        <v>637</v>
      </c>
      <c r="G748" s="67">
        <v>24</v>
      </c>
      <c r="H748" s="67">
        <v>15288</v>
      </c>
      <c r="I748" s="68">
        <v>123456789</v>
      </c>
      <c r="J748" s="69" t="s">
        <v>887</v>
      </c>
    </row>
    <row r="749" spans="1:10" x14ac:dyDescent="0.3">
      <c r="A749" s="62">
        <v>45677</v>
      </c>
      <c r="B749" s="63" t="s">
        <v>1635</v>
      </c>
      <c r="C749" s="64">
        <v>123457536</v>
      </c>
      <c r="D749" s="70" t="s">
        <v>797</v>
      </c>
      <c r="E749" s="111" t="s">
        <v>868</v>
      </c>
      <c r="F749" s="66">
        <v>941</v>
      </c>
      <c r="G749" s="67">
        <v>21</v>
      </c>
      <c r="H749" s="67">
        <v>19761</v>
      </c>
      <c r="I749" s="68">
        <v>123456789</v>
      </c>
      <c r="J749" s="69" t="s">
        <v>887</v>
      </c>
    </row>
    <row r="750" spans="1:10" x14ac:dyDescent="0.3">
      <c r="A750" s="62">
        <v>45678</v>
      </c>
      <c r="B750" s="63" t="s">
        <v>1636</v>
      </c>
      <c r="C750" s="64">
        <v>123457537</v>
      </c>
      <c r="D750" s="65" t="s">
        <v>798</v>
      </c>
      <c r="E750" s="53" t="s">
        <v>869</v>
      </c>
      <c r="F750" s="66">
        <v>572</v>
      </c>
      <c r="G750" s="67">
        <v>24</v>
      </c>
      <c r="H750" s="67">
        <v>13728</v>
      </c>
      <c r="I750" s="68">
        <v>123456789</v>
      </c>
      <c r="J750" s="69" t="s">
        <v>889</v>
      </c>
    </row>
    <row r="751" spans="1:10" x14ac:dyDescent="0.3">
      <c r="A751" s="62">
        <v>45679</v>
      </c>
      <c r="B751" s="63" t="s">
        <v>1637</v>
      </c>
      <c r="C751" s="64">
        <v>123457538</v>
      </c>
      <c r="D751" s="70" t="s">
        <v>799</v>
      </c>
      <c r="E751" s="111" t="s">
        <v>869</v>
      </c>
      <c r="F751" s="66">
        <v>564</v>
      </c>
      <c r="G751" s="67">
        <v>23</v>
      </c>
      <c r="H751" s="67">
        <v>12972</v>
      </c>
      <c r="I751" s="68">
        <v>123456789</v>
      </c>
      <c r="J751" s="69" t="s">
        <v>889</v>
      </c>
    </row>
    <row r="752" spans="1:10" x14ac:dyDescent="0.3">
      <c r="A752" s="62">
        <v>45680</v>
      </c>
      <c r="B752" s="63" t="s">
        <v>1638</v>
      </c>
      <c r="C752" s="64">
        <v>123457539</v>
      </c>
      <c r="D752" s="65" t="s">
        <v>800</v>
      </c>
      <c r="E752" s="53" t="s">
        <v>868</v>
      </c>
      <c r="F752" s="66">
        <v>962</v>
      </c>
      <c r="G752" s="67">
        <v>29</v>
      </c>
      <c r="H752" s="67">
        <v>27898</v>
      </c>
      <c r="I752" s="68">
        <v>123456789</v>
      </c>
      <c r="J752" s="69" t="s">
        <v>887</v>
      </c>
    </row>
    <row r="753" spans="1:10" x14ac:dyDescent="0.3">
      <c r="A753" s="62">
        <v>45681</v>
      </c>
      <c r="B753" s="63" t="s">
        <v>1639</v>
      </c>
      <c r="C753" s="64">
        <v>123457540</v>
      </c>
      <c r="D753" s="70" t="s">
        <v>801</v>
      </c>
      <c r="E753" s="111" t="s">
        <v>868</v>
      </c>
      <c r="F753" s="66">
        <v>915</v>
      </c>
      <c r="G753" s="67">
        <v>26</v>
      </c>
      <c r="H753" s="67">
        <v>23790</v>
      </c>
      <c r="I753" s="68">
        <v>123456789</v>
      </c>
      <c r="J753" s="69" t="s">
        <v>887</v>
      </c>
    </row>
    <row r="754" spans="1:10" x14ac:dyDescent="0.3">
      <c r="A754" s="62">
        <v>45682</v>
      </c>
      <c r="B754" s="63" t="s">
        <v>1640</v>
      </c>
      <c r="C754" s="64">
        <v>123457541</v>
      </c>
      <c r="D754" s="65" t="s">
        <v>802</v>
      </c>
      <c r="E754" s="53" t="s">
        <v>868</v>
      </c>
      <c r="F754" s="66">
        <v>736</v>
      </c>
      <c r="G754" s="67">
        <v>25</v>
      </c>
      <c r="H754" s="67">
        <v>18400</v>
      </c>
      <c r="I754" s="68">
        <v>123456789</v>
      </c>
      <c r="J754" s="69" t="s">
        <v>887</v>
      </c>
    </row>
    <row r="755" spans="1:10" x14ac:dyDescent="0.3">
      <c r="A755" s="62">
        <v>45683</v>
      </c>
      <c r="B755" s="63" t="s">
        <v>1641</v>
      </c>
      <c r="C755" s="64">
        <v>123457542</v>
      </c>
      <c r="D755" s="70" t="s">
        <v>803</v>
      </c>
      <c r="E755" s="111" t="s">
        <v>868</v>
      </c>
      <c r="F755" s="66">
        <v>677</v>
      </c>
      <c r="G755" s="67">
        <v>24</v>
      </c>
      <c r="H755" s="67">
        <v>16248</v>
      </c>
      <c r="I755" s="68">
        <v>123456789</v>
      </c>
      <c r="J755" s="69" t="s">
        <v>887</v>
      </c>
    </row>
    <row r="756" spans="1:10" x14ac:dyDescent="0.3">
      <c r="A756" s="62">
        <v>45684</v>
      </c>
      <c r="B756" s="63" t="s">
        <v>1642</v>
      </c>
      <c r="C756" s="64">
        <v>123457543</v>
      </c>
      <c r="D756" s="65" t="s">
        <v>804</v>
      </c>
      <c r="E756" s="53" t="s">
        <v>868</v>
      </c>
      <c r="F756" s="66">
        <v>652</v>
      </c>
      <c r="G756" s="67">
        <v>27</v>
      </c>
      <c r="H756" s="67">
        <v>17604</v>
      </c>
      <c r="I756" s="68">
        <v>123456789</v>
      </c>
      <c r="J756" s="69" t="s">
        <v>887</v>
      </c>
    </row>
    <row r="757" spans="1:10" x14ac:dyDescent="0.3">
      <c r="A757" s="62">
        <v>45685</v>
      </c>
      <c r="B757" s="63" t="s">
        <v>1643</v>
      </c>
      <c r="C757" s="64">
        <v>123457544</v>
      </c>
      <c r="D757" s="70" t="s">
        <v>805</v>
      </c>
      <c r="E757" s="111" t="s">
        <v>869</v>
      </c>
      <c r="F757" s="66">
        <v>523</v>
      </c>
      <c r="G757" s="67">
        <v>28</v>
      </c>
      <c r="H757" s="67">
        <v>14644</v>
      </c>
      <c r="I757" s="68">
        <v>123456789</v>
      </c>
      <c r="J757" s="69" t="s">
        <v>887</v>
      </c>
    </row>
    <row r="758" spans="1:10" x14ac:dyDescent="0.3">
      <c r="A758" s="62">
        <v>45686</v>
      </c>
      <c r="B758" s="63" t="s">
        <v>1644</v>
      </c>
      <c r="C758" s="64">
        <v>123457545</v>
      </c>
      <c r="D758" s="65" t="s">
        <v>806</v>
      </c>
      <c r="E758" s="53" t="s">
        <v>868</v>
      </c>
      <c r="F758" s="66">
        <v>648</v>
      </c>
      <c r="G758" s="67">
        <v>30</v>
      </c>
      <c r="H758" s="67">
        <v>19440</v>
      </c>
      <c r="I758" s="68">
        <v>123456789</v>
      </c>
      <c r="J758" s="69" t="s">
        <v>889</v>
      </c>
    </row>
    <row r="759" spans="1:10" x14ac:dyDescent="0.3">
      <c r="A759" s="62">
        <v>45687</v>
      </c>
      <c r="B759" s="63" t="s">
        <v>1645</v>
      </c>
      <c r="C759" s="64">
        <v>123457546</v>
      </c>
      <c r="D759" s="70" t="s">
        <v>807</v>
      </c>
      <c r="E759" s="111" t="s">
        <v>868</v>
      </c>
      <c r="F759" s="66">
        <v>644</v>
      </c>
      <c r="G759" s="67">
        <v>26</v>
      </c>
      <c r="H759" s="67">
        <v>16744</v>
      </c>
      <c r="I759" s="68">
        <v>123456789</v>
      </c>
      <c r="J759" s="69" t="s">
        <v>887</v>
      </c>
    </row>
    <row r="760" spans="1:10" x14ac:dyDescent="0.3">
      <c r="A760" s="62">
        <v>45688</v>
      </c>
      <c r="B760" s="63" t="s">
        <v>1646</v>
      </c>
      <c r="C760" s="64">
        <v>123457547</v>
      </c>
      <c r="D760" s="65" t="s">
        <v>808</v>
      </c>
      <c r="E760" s="53" t="s">
        <v>868</v>
      </c>
      <c r="F760" s="66">
        <v>966</v>
      </c>
      <c r="G760" s="67">
        <v>24</v>
      </c>
      <c r="H760" s="67">
        <v>23184</v>
      </c>
      <c r="I760" s="68">
        <v>123456789</v>
      </c>
      <c r="J760" s="69" t="s">
        <v>887</v>
      </c>
    </row>
    <row r="761" spans="1:10" x14ac:dyDescent="0.3">
      <c r="A761" s="62">
        <v>45689</v>
      </c>
      <c r="B761" s="63" t="s">
        <v>1647</v>
      </c>
      <c r="C761" s="64">
        <v>123457548</v>
      </c>
      <c r="D761" s="70" t="s">
        <v>809</v>
      </c>
      <c r="E761" s="111" t="s">
        <v>868</v>
      </c>
      <c r="F761" s="66">
        <v>687</v>
      </c>
      <c r="G761" s="67">
        <v>27</v>
      </c>
      <c r="H761" s="67">
        <v>18549</v>
      </c>
      <c r="I761" s="68">
        <v>123456789</v>
      </c>
      <c r="J761" s="69" t="s">
        <v>887</v>
      </c>
    </row>
    <row r="762" spans="1:10" x14ac:dyDescent="0.3">
      <c r="A762" s="62">
        <v>45690</v>
      </c>
      <c r="B762" s="63" t="s">
        <v>1648</v>
      </c>
      <c r="C762" s="64">
        <v>123457549</v>
      </c>
      <c r="D762" s="65" t="s">
        <v>810</v>
      </c>
      <c r="E762" s="53" t="s">
        <v>869</v>
      </c>
      <c r="F762" s="66">
        <v>765</v>
      </c>
      <c r="G762" s="67">
        <v>22</v>
      </c>
      <c r="H762" s="67">
        <v>16830</v>
      </c>
      <c r="I762" s="68">
        <v>123456789</v>
      </c>
      <c r="J762" s="69" t="s">
        <v>887</v>
      </c>
    </row>
    <row r="763" spans="1:10" x14ac:dyDescent="0.3">
      <c r="A763" s="62">
        <v>45691</v>
      </c>
      <c r="B763" s="63" t="s">
        <v>1649</v>
      </c>
      <c r="C763" s="64">
        <v>123457550</v>
      </c>
      <c r="D763" s="70" t="s">
        <v>811</v>
      </c>
      <c r="E763" s="111" t="s">
        <v>868</v>
      </c>
      <c r="F763" s="66">
        <v>836</v>
      </c>
      <c r="G763" s="67">
        <v>30</v>
      </c>
      <c r="H763" s="67">
        <v>25080</v>
      </c>
      <c r="I763" s="68">
        <v>123456789</v>
      </c>
      <c r="J763" s="69" t="s">
        <v>887</v>
      </c>
    </row>
    <row r="764" spans="1:10" x14ac:dyDescent="0.3">
      <c r="A764" s="62">
        <v>45692</v>
      </c>
      <c r="B764" s="63" t="s">
        <v>1650</v>
      </c>
      <c r="C764" s="64">
        <v>123457551</v>
      </c>
      <c r="D764" s="65" t="s">
        <v>812</v>
      </c>
      <c r="E764" s="53" t="s">
        <v>869</v>
      </c>
      <c r="F764" s="66">
        <v>885</v>
      </c>
      <c r="G764" s="67">
        <v>28</v>
      </c>
      <c r="H764" s="67">
        <v>24780</v>
      </c>
      <c r="I764" s="68">
        <v>123456789</v>
      </c>
      <c r="J764" s="69" t="s">
        <v>889</v>
      </c>
    </row>
    <row r="765" spans="1:10" x14ac:dyDescent="0.3">
      <c r="A765" s="62">
        <v>45693</v>
      </c>
      <c r="B765" s="63" t="s">
        <v>1651</v>
      </c>
      <c r="C765" s="64">
        <v>123457552</v>
      </c>
      <c r="D765" s="70" t="s">
        <v>813</v>
      </c>
      <c r="E765" s="111" t="s">
        <v>869</v>
      </c>
      <c r="F765" s="66">
        <v>748</v>
      </c>
      <c r="G765" s="67">
        <v>29</v>
      </c>
      <c r="H765" s="67">
        <v>21692</v>
      </c>
      <c r="I765" s="68">
        <v>123456789</v>
      </c>
      <c r="J765" s="69" t="s">
        <v>887</v>
      </c>
    </row>
    <row r="766" spans="1:10" x14ac:dyDescent="0.3">
      <c r="A766" s="62">
        <v>45694</v>
      </c>
      <c r="B766" s="63" t="s">
        <v>1652</v>
      </c>
      <c r="C766" s="64">
        <v>123457553</v>
      </c>
      <c r="D766" s="65" t="s">
        <v>814</v>
      </c>
      <c r="E766" s="53" t="s">
        <v>868</v>
      </c>
      <c r="F766" s="66">
        <v>599</v>
      </c>
      <c r="G766" s="67">
        <v>22</v>
      </c>
      <c r="H766" s="67">
        <v>13178</v>
      </c>
      <c r="I766" s="68">
        <v>123456789</v>
      </c>
      <c r="J766" s="69" t="s">
        <v>887</v>
      </c>
    </row>
    <row r="767" spans="1:10" x14ac:dyDescent="0.3">
      <c r="A767" s="62">
        <v>45695</v>
      </c>
      <c r="B767" s="63" t="s">
        <v>1653</v>
      </c>
      <c r="C767" s="64">
        <v>123457554</v>
      </c>
      <c r="D767" s="70" t="s">
        <v>815</v>
      </c>
      <c r="E767" s="111" t="s">
        <v>868</v>
      </c>
      <c r="F767" s="66">
        <v>982</v>
      </c>
      <c r="G767" s="67">
        <v>26</v>
      </c>
      <c r="H767" s="67">
        <v>25532</v>
      </c>
      <c r="I767" s="68">
        <v>123456789</v>
      </c>
      <c r="J767" s="69" t="s">
        <v>887</v>
      </c>
    </row>
    <row r="768" spans="1:10" x14ac:dyDescent="0.3">
      <c r="A768" s="62">
        <v>45696</v>
      </c>
      <c r="B768" s="63" t="s">
        <v>1654</v>
      </c>
      <c r="C768" s="64">
        <v>123457555</v>
      </c>
      <c r="D768" s="65" t="s">
        <v>816</v>
      </c>
      <c r="E768" s="53" t="s">
        <v>869</v>
      </c>
      <c r="F768" s="66">
        <v>646</v>
      </c>
      <c r="G768" s="67">
        <v>28</v>
      </c>
      <c r="H768" s="67">
        <v>18088</v>
      </c>
      <c r="I768" s="68">
        <v>123456789</v>
      </c>
      <c r="J768" s="69" t="s">
        <v>889</v>
      </c>
    </row>
    <row r="769" spans="1:10" x14ac:dyDescent="0.3">
      <c r="A769" s="62">
        <v>45697</v>
      </c>
      <c r="B769" s="63" t="s">
        <v>1655</v>
      </c>
      <c r="C769" s="64">
        <v>123457556</v>
      </c>
      <c r="D769" s="70" t="s">
        <v>817</v>
      </c>
      <c r="E769" s="111" t="s">
        <v>868</v>
      </c>
      <c r="F769" s="66">
        <v>614</v>
      </c>
      <c r="G769" s="67">
        <v>22</v>
      </c>
      <c r="H769" s="67">
        <v>13508</v>
      </c>
      <c r="I769" s="68">
        <v>123456789</v>
      </c>
      <c r="J769" s="69" t="s">
        <v>887</v>
      </c>
    </row>
    <row r="770" spans="1:10" x14ac:dyDescent="0.3">
      <c r="A770" s="62">
        <v>45698</v>
      </c>
      <c r="B770" s="63" t="s">
        <v>1656</v>
      </c>
      <c r="C770" s="64">
        <v>123457557</v>
      </c>
      <c r="D770" s="65" t="s">
        <v>818</v>
      </c>
      <c r="E770" s="53" t="s">
        <v>869</v>
      </c>
      <c r="F770" s="66">
        <v>913</v>
      </c>
      <c r="G770" s="67">
        <v>31</v>
      </c>
      <c r="H770" s="67">
        <v>28303</v>
      </c>
      <c r="I770" s="68">
        <v>123456789</v>
      </c>
      <c r="J770" s="69" t="s">
        <v>887</v>
      </c>
    </row>
    <row r="771" spans="1:10" x14ac:dyDescent="0.3">
      <c r="A771" s="62">
        <v>45699</v>
      </c>
      <c r="B771" s="63" t="s">
        <v>1657</v>
      </c>
      <c r="C771" s="64">
        <v>123457558</v>
      </c>
      <c r="D771" s="70" t="s">
        <v>819</v>
      </c>
      <c r="E771" s="111" t="s">
        <v>868</v>
      </c>
      <c r="F771" s="66">
        <v>615</v>
      </c>
      <c r="G771" s="67">
        <v>29</v>
      </c>
      <c r="H771" s="67">
        <v>17835</v>
      </c>
      <c r="I771" s="68">
        <v>123456789</v>
      </c>
      <c r="J771" s="69" t="s">
        <v>887</v>
      </c>
    </row>
    <row r="772" spans="1:10" x14ac:dyDescent="0.3">
      <c r="A772" s="62">
        <v>45700</v>
      </c>
      <c r="B772" s="63" t="s">
        <v>1658</v>
      </c>
      <c r="C772" s="64">
        <v>123457559</v>
      </c>
      <c r="D772" s="65" t="s">
        <v>820</v>
      </c>
      <c r="E772" s="53" t="s">
        <v>868</v>
      </c>
      <c r="F772" s="66">
        <v>786</v>
      </c>
      <c r="G772" s="67">
        <v>31</v>
      </c>
      <c r="H772" s="67">
        <v>24366</v>
      </c>
      <c r="I772" s="68">
        <v>123456789</v>
      </c>
      <c r="J772" s="69" t="s">
        <v>889</v>
      </c>
    </row>
    <row r="773" spans="1:10" x14ac:dyDescent="0.3">
      <c r="A773" s="62">
        <v>45701</v>
      </c>
      <c r="B773" s="63" t="s">
        <v>1659</v>
      </c>
      <c r="C773" s="64">
        <v>123457560</v>
      </c>
      <c r="D773" s="70" t="s">
        <v>821</v>
      </c>
      <c r="E773" s="111" t="s">
        <v>868</v>
      </c>
      <c r="F773" s="66">
        <v>576</v>
      </c>
      <c r="G773" s="67">
        <v>24</v>
      </c>
      <c r="H773" s="67">
        <v>13824</v>
      </c>
      <c r="I773" s="68">
        <v>123456789</v>
      </c>
      <c r="J773" s="69" t="s">
        <v>887</v>
      </c>
    </row>
    <row r="774" spans="1:10" x14ac:dyDescent="0.3">
      <c r="A774" s="62">
        <v>45702</v>
      </c>
      <c r="B774" s="63" t="s">
        <v>1660</v>
      </c>
      <c r="C774" s="64">
        <v>123457561</v>
      </c>
      <c r="D774" s="65" t="s">
        <v>822</v>
      </c>
      <c r="E774" s="53" t="s">
        <v>868</v>
      </c>
      <c r="F774" s="66">
        <v>670</v>
      </c>
      <c r="G774" s="67">
        <v>26</v>
      </c>
      <c r="H774" s="67">
        <v>17420</v>
      </c>
      <c r="I774" s="68">
        <v>123456789</v>
      </c>
      <c r="J774" s="69" t="s">
        <v>889</v>
      </c>
    </row>
    <row r="775" spans="1:10" x14ac:dyDescent="0.3">
      <c r="A775" s="62">
        <v>45703</v>
      </c>
      <c r="B775" s="63" t="s">
        <v>1661</v>
      </c>
      <c r="C775" s="64">
        <v>123457562</v>
      </c>
      <c r="D775" s="70" t="s">
        <v>823</v>
      </c>
      <c r="E775" s="111" t="s">
        <v>869</v>
      </c>
      <c r="F775" s="66">
        <v>994</v>
      </c>
      <c r="G775" s="67">
        <v>30</v>
      </c>
      <c r="H775" s="67">
        <v>29820</v>
      </c>
      <c r="I775" s="68">
        <v>123456789</v>
      </c>
      <c r="J775" s="69" t="s">
        <v>887</v>
      </c>
    </row>
    <row r="776" spans="1:10" x14ac:dyDescent="0.3">
      <c r="A776" s="62">
        <v>45704</v>
      </c>
      <c r="B776" s="63" t="s">
        <v>1662</v>
      </c>
      <c r="C776" s="64">
        <v>123457563</v>
      </c>
      <c r="D776" s="65" t="s">
        <v>824</v>
      </c>
      <c r="E776" s="53" t="s">
        <v>868</v>
      </c>
      <c r="F776" s="66">
        <v>665</v>
      </c>
      <c r="G776" s="67">
        <v>24</v>
      </c>
      <c r="H776" s="67">
        <v>15960</v>
      </c>
      <c r="I776" s="68">
        <v>123456789</v>
      </c>
      <c r="J776" s="69" t="s">
        <v>889</v>
      </c>
    </row>
    <row r="777" spans="1:10" x14ac:dyDescent="0.3">
      <c r="A777" s="62">
        <v>45705</v>
      </c>
      <c r="B777" s="63" t="s">
        <v>1663</v>
      </c>
      <c r="C777" s="64">
        <v>123457564</v>
      </c>
      <c r="D777" s="70" t="s">
        <v>825</v>
      </c>
      <c r="E777" s="111" t="s">
        <v>868</v>
      </c>
      <c r="F777" s="66">
        <v>686</v>
      </c>
      <c r="G777" s="67">
        <v>30</v>
      </c>
      <c r="H777" s="67">
        <v>20580</v>
      </c>
      <c r="I777" s="68">
        <v>123456789</v>
      </c>
      <c r="J777" s="69" t="s">
        <v>889</v>
      </c>
    </row>
    <row r="778" spans="1:10" x14ac:dyDescent="0.3">
      <c r="A778" s="62">
        <v>45706</v>
      </c>
      <c r="B778" s="63" t="s">
        <v>1664</v>
      </c>
      <c r="C778" s="64">
        <v>123457565</v>
      </c>
      <c r="D778" s="65" t="s">
        <v>826</v>
      </c>
      <c r="E778" s="53" t="s">
        <v>868</v>
      </c>
      <c r="F778" s="66">
        <v>656</v>
      </c>
      <c r="G778" s="67">
        <v>25</v>
      </c>
      <c r="H778" s="67">
        <v>16400</v>
      </c>
      <c r="I778" s="68">
        <v>123456789</v>
      </c>
      <c r="J778" s="69" t="s">
        <v>887</v>
      </c>
    </row>
    <row r="779" spans="1:10" x14ac:dyDescent="0.3">
      <c r="A779" s="62">
        <v>45707</v>
      </c>
      <c r="B779" s="63" t="s">
        <v>1665</v>
      </c>
      <c r="C779" s="64">
        <v>123457566</v>
      </c>
      <c r="D779" s="70" t="s">
        <v>827</v>
      </c>
      <c r="E779" s="111" t="s">
        <v>868</v>
      </c>
      <c r="F779" s="66">
        <v>718</v>
      </c>
      <c r="G779" s="67">
        <v>22</v>
      </c>
      <c r="H779" s="67">
        <v>15796</v>
      </c>
      <c r="I779" s="68">
        <v>123456789</v>
      </c>
      <c r="J779" s="69" t="s">
        <v>887</v>
      </c>
    </row>
    <row r="780" spans="1:10" x14ac:dyDescent="0.3">
      <c r="A780" s="62">
        <v>45708</v>
      </c>
      <c r="B780" s="63" t="s">
        <v>1666</v>
      </c>
      <c r="C780" s="64">
        <v>123457567</v>
      </c>
      <c r="D780" s="65" t="s">
        <v>828</v>
      </c>
      <c r="E780" s="53" t="s">
        <v>869</v>
      </c>
      <c r="F780" s="66">
        <v>545</v>
      </c>
      <c r="G780" s="67">
        <v>23</v>
      </c>
      <c r="H780" s="67">
        <v>12535</v>
      </c>
      <c r="I780" s="68">
        <v>123456789</v>
      </c>
      <c r="J780" s="69" t="s">
        <v>887</v>
      </c>
    </row>
    <row r="781" spans="1:10" x14ac:dyDescent="0.3">
      <c r="A781" s="62">
        <v>45709</v>
      </c>
      <c r="B781" s="63" t="s">
        <v>1667</v>
      </c>
      <c r="C781" s="64">
        <v>123457568</v>
      </c>
      <c r="D781" s="70" t="s">
        <v>829</v>
      </c>
      <c r="E781" s="111" t="s">
        <v>868</v>
      </c>
      <c r="F781" s="66">
        <v>560</v>
      </c>
      <c r="G781" s="67">
        <v>27</v>
      </c>
      <c r="H781" s="67">
        <v>15120</v>
      </c>
      <c r="I781" s="68">
        <v>123456789</v>
      </c>
      <c r="J781" s="69" t="s">
        <v>887</v>
      </c>
    </row>
    <row r="782" spans="1:10" x14ac:dyDescent="0.3">
      <c r="A782" s="62">
        <v>45710</v>
      </c>
      <c r="B782" s="63" t="s">
        <v>1668</v>
      </c>
      <c r="C782" s="64">
        <v>123457569</v>
      </c>
      <c r="D782" s="65" t="s">
        <v>830</v>
      </c>
      <c r="E782" s="53" t="s">
        <v>868</v>
      </c>
      <c r="F782" s="66">
        <v>781</v>
      </c>
      <c r="G782" s="67">
        <v>23</v>
      </c>
      <c r="H782" s="67">
        <v>17963</v>
      </c>
      <c r="I782" s="68">
        <v>123456789</v>
      </c>
      <c r="J782" s="69" t="s">
        <v>889</v>
      </c>
    </row>
    <row r="783" spans="1:10" x14ac:dyDescent="0.3">
      <c r="A783" s="62">
        <v>45711</v>
      </c>
      <c r="B783" s="63" t="s">
        <v>1669</v>
      </c>
      <c r="C783" s="64">
        <v>123457570</v>
      </c>
      <c r="D783" s="70" t="s">
        <v>831</v>
      </c>
      <c r="E783" s="111" t="s">
        <v>869</v>
      </c>
      <c r="F783" s="66">
        <v>807</v>
      </c>
      <c r="G783" s="67">
        <v>27</v>
      </c>
      <c r="H783" s="67">
        <v>21789</v>
      </c>
      <c r="I783" s="68">
        <v>123456789</v>
      </c>
      <c r="J783" s="69" t="s">
        <v>887</v>
      </c>
    </row>
    <row r="784" spans="1:10" x14ac:dyDescent="0.3">
      <c r="A784" s="62">
        <v>45712</v>
      </c>
      <c r="B784" s="63" t="s">
        <v>1670</v>
      </c>
      <c r="C784" s="64">
        <v>123457571</v>
      </c>
      <c r="D784" s="65" t="s">
        <v>832</v>
      </c>
      <c r="E784" s="53" t="s">
        <v>868</v>
      </c>
      <c r="F784" s="66">
        <v>913</v>
      </c>
      <c r="G784" s="67">
        <v>26</v>
      </c>
      <c r="H784" s="67">
        <v>23738</v>
      </c>
      <c r="I784" s="68">
        <v>123456789</v>
      </c>
      <c r="J784" s="69" t="s">
        <v>887</v>
      </c>
    </row>
    <row r="785" spans="1:10" x14ac:dyDescent="0.3">
      <c r="A785" s="62">
        <v>45713</v>
      </c>
      <c r="B785" s="63" t="s">
        <v>1671</v>
      </c>
      <c r="C785" s="64">
        <v>123457572</v>
      </c>
      <c r="D785" s="70" t="s">
        <v>833</v>
      </c>
      <c r="E785" s="111" t="s">
        <v>868</v>
      </c>
      <c r="F785" s="66">
        <v>810</v>
      </c>
      <c r="G785" s="67">
        <v>29</v>
      </c>
      <c r="H785" s="67">
        <v>23490</v>
      </c>
      <c r="I785" s="68">
        <v>123456789</v>
      </c>
      <c r="J785" s="69" t="s">
        <v>887</v>
      </c>
    </row>
    <row r="786" spans="1:10" x14ac:dyDescent="0.3">
      <c r="A786" s="62">
        <v>45714</v>
      </c>
      <c r="B786" s="63" t="s">
        <v>1672</v>
      </c>
      <c r="C786" s="64">
        <v>123457573</v>
      </c>
      <c r="D786" s="65" t="s">
        <v>834</v>
      </c>
      <c r="E786" s="53" t="s">
        <v>869</v>
      </c>
      <c r="F786" s="66">
        <v>853</v>
      </c>
      <c r="G786" s="67">
        <v>31</v>
      </c>
      <c r="H786" s="67">
        <v>26443</v>
      </c>
      <c r="I786" s="68">
        <v>123456789</v>
      </c>
      <c r="J786" s="69" t="s">
        <v>887</v>
      </c>
    </row>
    <row r="787" spans="1:10" x14ac:dyDescent="0.3">
      <c r="A787" s="62">
        <v>45715</v>
      </c>
      <c r="B787" s="63" t="s">
        <v>1673</v>
      </c>
      <c r="C787" s="64">
        <v>123457574</v>
      </c>
      <c r="D787" s="70" t="s">
        <v>835</v>
      </c>
      <c r="E787" s="111" t="s">
        <v>868</v>
      </c>
      <c r="F787" s="66">
        <v>924</v>
      </c>
      <c r="G787" s="67">
        <v>25</v>
      </c>
      <c r="H787" s="67">
        <v>23100</v>
      </c>
      <c r="I787" s="68">
        <v>123456789</v>
      </c>
      <c r="J787" s="69" t="s">
        <v>887</v>
      </c>
    </row>
    <row r="788" spans="1:10" x14ac:dyDescent="0.3">
      <c r="A788" s="62">
        <v>45716</v>
      </c>
      <c r="B788" s="63" t="s">
        <v>1674</v>
      </c>
      <c r="C788" s="64">
        <v>123457575</v>
      </c>
      <c r="D788" s="65" t="s">
        <v>836</v>
      </c>
      <c r="E788" s="53" t="s">
        <v>868</v>
      </c>
      <c r="F788" s="66">
        <v>841</v>
      </c>
      <c r="G788" s="67">
        <v>27</v>
      </c>
      <c r="H788" s="67">
        <v>22707</v>
      </c>
      <c r="I788" s="68">
        <v>123456789</v>
      </c>
      <c r="J788" s="69" t="s">
        <v>887</v>
      </c>
    </row>
    <row r="789" spans="1:10" x14ac:dyDescent="0.3">
      <c r="A789" s="62">
        <v>45717</v>
      </c>
      <c r="B789" s="63" t="s">
        <v>1675</v>
      </c>
      <c r="C789" s="64">
        <v>123457576</v>
      </c>
      <c r="D789" s="70" t="s">
        <v>837</v>
      </c>
      <c r="E789" s="111" t="s">
        <v>868</v>
      </c>
      <c r="F789" s="66">
        <v>741</v>
      </c>
      <c r="G789" s="67">
        <v>23</v>
      </c>
      <c r="H789" s="67">
        <v>17043</v>
      </c>
      <c r="I789" s="68">
        <v>123456789</v>
      </c>
      <c r="J789" s="69" t="s">
        <v>887</v>
      </c>
    </row>
    <row r="790" spans="1:10" x14ac:dyDescent="0.3">
      <c r="A790" s="62">
        <v>45718</v>
      </c>
      <c r="B790" s="63" t="s">
        <v>1676</v>
      </c>
      <c r="C790" s="64">
        <v>123457577</v>
      </c>
      <c r="D790" s="65" t="s">
        <v>838</v>
      </c>
      <c r="E790" s="53" t="s">
        <v>869</v>
      </c>
      <c r="F790" s="66">
        <v>711</v>
      </c>
      <c r="G790" s="67">
        <v>21</v>
      </c>
      <c r="H790" s="67">
        <v>14931</v>
      </c>
      <c r="I790" s="68">
        <v>123456789</v>
      </c>
      <c r="J790" s="69" t="s">
        <v>887</v>
      </c>
    </row>
    <row r="791" spans="1:10" x14ac:dyDescent="0.3">
      <c r="A791" s="62">
        <v>45719</v>
      </c>
      <c r="B791" s="63" t="s">
        <v>1677</v>
      </c>
      <c r="C791" s="64">
        <v>123457578</v>
      </c>
      <c r="D791" s="70" t="s">
        <v>839</v>
      </c>
      <c r="E791" s="111" t="s">
        <v>868</v>
      </c>
      <c r="F791" s="66">
        <v>990</v>
      </c>
      <c r="G791" s="67">
        <v>29</v>
      </c>
      <c r="H791" s="67">
        <v>28710</v>
      </c>
      <c r="I791" s="68">
        <v>123456789</v>
      </c>
      <c r="J791" s="69" t="s">
        <v>887</v>
      </c>
    </row>
    <row r="792" spans="1:10" x14ac:dyDescent="0.3">
      <c r="A792" s="62">
        <v>45720</v>
      </c>
      <c r="B792" s="63" t="s">
        <v>1678</v>
      </c>
      <c r="C792" s="64">
        <v>123457579</v>
      </c>
      <c r="D792" s="65" t="s">
        <v>840</v>
      </c>
      <c r="E792" s="53" t="s">
        <v>869</v>
      </c>
      <c r="F792" s="66">
        <v>932</v>
      </c>
      <c r="G792" s="67">
        <v>27</v>
      </c>
      <c r="H792" s="67">
        <v>25164</v>
      </c>
      <c r="I792" s="68">
        <v>123456789</v>
      </c>
      <c r="J792" s="69" t="s">
        <v>887</v>
      </c>
    </row>
    <row r="793" spans="1:10" x14ac:dyDescent="0.3">
      <c r="A793" s="62">
        <v>45721</v>
      </c>
      <c r="B793" s="63" t="s">
        <v>1679</v>
      </c>
      <c r="C793" s="64">
        <v>123457580</v>
      </c>
      <c r="D793" s="70" t="s">
        <v>841</v>
      </c>
      <c r="E793" s="111" t="s">
        <v>869</v>
      </c>
      <c r="F793" s="66">
        <v>963</v>
      </c>
      <c r="G793" s="67">
        <v>22</v>
      </c>
      <c r="H793" s="67">
        <v>21186</v>
      </c>
      <c r="I793" s="68">
        <v>123456789</v>
      </c>
      <c r="J793" s="69" t="s">
        <v>887</v>
      </c>
    </row>
    <row r="794" spans="1:10" x14ac:dyDescent="0.3">
      <c r="A794" s="62">
        <v>45722</v>
      </c>
      <c r="B794" s="63" t="s">
        <v>1680</v>
      </c>
      <c r="C794" s="64">
        <v>123457581</v>
      </c>
      <c r="D794" s="65" t="s">
        <v>842</v>
      </c>
      <c r="E794" s="53" t="s">
        <v>868</v>
      </c>
      <c r="F794" s="66">
        <v>936</v>
      </c>
      <c r="G794" s="67">
        <v>25</v>
      </c>
      <c r="H794" s="67">
        <v>23400</v>
      </c>
      <c r="I794" s="68">
        <v>123456789</v>
      </c>
      <c r="J794" s="69" t="s">
        <v>887</v>
      </c>
    </row>
    <row r="795" spans="1:10" x14ac:dyDescent="0.3">
      <c r="A795" s="62">
        <v>45723</v>
      </c>
      <c r="B795" s="63" t="s">
        <v>1681</v>
      </c>
      <c r="C795" s="64">
        <v>123457582</v>
      </c>
      <c r="D795" s="70" t="s">
        <v>843</v>
      </c>
      <c r="E795" s="111" t="s">
        <v>868</v>
      </c>
      <c r="F795" s="66">
        <v>889</v>
      </c>
      <c r="G795" s="67">
        <v>23</v>
      </c>
      <c r="H795" s="67">
        <v>20447</v>
      </c>
      <c r="I795" s="68">
        <v>123456789</v>
      </c>
      <c r="J795" s="69" t="s">
        <v>889</v>
      </c>
    </row>
    <row r="796" spans="1:10" x14ac:dyDescent="0.3">
      <c r="A796" s="62">
        <v>45724</v>
      </c>
      <c r="B796" s="63" t="s">
        <v>1682</v>
      </c>
      <c r="C796" s="64">
        <v>123457583</v>
      </c>
      <c r="D796" s="65" t="s">
        <v>844</v>
      </c>
      <c r="E796" s="53" t="s">
        <v>868</v>
      </c>
      <c r="F796" s="66">
        <v>517</v>
      </c>
      <c r="G796" s="67">
        <v>25</v>
      </c>
      <c r="H796" s="67">
        <v>12925</v>
      </c>
      <c r="I796" s="68">
        <v>123456789</v>
      </c>
      <c r="J796" s="69" t="s">
        <v>889</v>
      </c>
    </row>
    <row r="797" spans="1:10" x14ac:dyDescent="0.3">
      <c r="A797" s="62">
        <v>45725</v>
      </c>
      <c r="B797" s="63" t="s">
        <v>1683</v>
      </c>
      <c r="C797" s="64">
        <v>123457584</v>
      </c>
      <c r="D797" s="70" t="s">
        <v>845</v>
      </c>
      <c r="E797" s="111" t="s">
        <v>868</v>
      </c>
      <c r="F797" s="66">
        <v>502</v>
      </c>
      <c r="G797" s="67">
        <v>30</v>
      </c>
      <c r="H797" s="67">
        <v>15060</v>
      </c>
      <c r="I797" s="68">
        <v>123456789</v>
      </c>
      <c r="J797" s="69" t="s">
        <v>887</v>
      </c>
    </row>
    <row r="798" spans="1:10" x14ac:dyDescent="0.3">
      <c r="A798" s="62">
        <v>45726</v>
      </c>
      <c r="B798" s="63" t="s">
        <v>1684</v>
      </c>
      <c r="C798" s="64">
        <v>123457585</v>
      </c>
      <c r="D798" s="65" t="s">
        <v>846</v>
      </c>
      <c r="E798" s="53" t="s">
        <v>868</v>
      </c>
      <c r="F798" s="66">
        <v>794</v>
      </c>
      <c r="G798" s="67">
        <v>24</v>
      </c>
      <c r="H798" s="67">
        <v>19056</v>
      </c>
      <c r="I798" s="68">
        <v>123456789</v>
      </c>
      <c r="J798" s="69" t="s">
        <v>887</v>
      </c>
    </row>
    <row r="799" spans="1:10" x14ac:dyDescent="0.3">
      <c r="A799" s="62">
        <v>45727</v>
      </c>
      <c r="B799" s="63" t="s">
        <v>1685</v>
      </c>
      <c r="C799" s="64">
        <v>123457586</v>
      </c>
      <c r="D799" s="70" t="s">
        <v>847</v>
      </c>
      <c r="E799" s="111" t="s">
        <v>868</v>
      </c>
      <c r="F799" s="66">
        <v>592</v>
      </c>
      <c r="G799" s="67">
        <v>31</v>
      </c>
      <c r="H799" s="67">
        <v>18352</v>
      </c>
      <c r="I799" s="68">
        <v>123456789</v>
      </c>
      <c r="J799" s="69" t="s">
        <v>887</v>
      </c>
    </row>
    <row r="800" spans="1:10" x14ac:dyDescent="0.3">
      <c r="A800" s="62">
        <v>45728</v>
      </c>
      <c r="B800" s="63" t="s">
        <v>1686</v>
      </c>
      <c r="C800" s="64">
        <v>123457587</v>
      </c>
      <c r="D800" s="65" t="s">
        <v>848</v>
      </c>
      <c r="E800" s="53" t="s">
        <v>868</v>
      </c>
      <c r="F800" s="66">
        <v>513</v>
      </c>
      <c r="G800" s="67">
        <v>22</v>
      </c>
      <c r="H800" s="67">
        <v>11286</v>
      </c>
      <c r="I800" s="68">
        <v>123456789</v>
      </c>
      <c r="J800" s="69" t="s">
        <v>887</v>
      </c>
    </row>
    <row r="801" spans="1:10" x14ac:dyDescent="0.3">
      <c r="A801" s="62">
        <v>45729</v>
      </c>
      <c r="B801" s="63" t="s">
        <v>1687</v>
      </c>
      <c r="C801" s="64">
        <v>123457588</v>
      </c>
      <c r="D801" s="70" t="s">
        <v>849</v>
      </c>
      <c r="E801" s="111" t="s">
        <v>868</v>
      </c>
      <c r="F801" s="66">
        <v>976</v>
      </c>
      <c r="G801" s="67">
        <v>31</v>
      </c>
      <c r="H801" s="67">
        <v>30256</v>
      </c>
      <c r="I801" s="68">
        <v>123456789</v>
      </c>
      <c r="J801" s="69" t="s">
        <v>889</v>
      </c>
    </row>
    <row r="802" spans="1:10" x14ac:dyDescent="0.3">
      <c r="A802" s="62">
        <v>45730</v>
      </c>
      <c r="B802" s="63" t="s">
        <v>1688</v>
      </c>
      <c r="C802" s="64">
        <v>123457589</v>
      </c>
      <c r="D802" s="65" t="s">
        <v>850</v>
      </c>
      <c r="E802" s="53" t="s">
        <v>868</v>
      </c>
      <c r="F802" s="66">
        <v>662</v>
      </c>
      <c r="G802" s="67">
        <v>30</v>
      </c>
      <c r="H802" s="67">
        <v>19860</v>
      </c>
      <c r="I802" s="68">
        <v>123456789</v>
      </c>
      <c r="J802" s="69" t="s">
        <v>887</v>
      </c>
    </row>
    <row r="803" spans="1:10" x14ac:dyDescent="0.3">
      <c r="A803" s="62">
        <v>45731</v>
      </c>
      <c r="B803" s="63" t="s">
        <v>1689</v>
      </c>
      <c r="C803" s="64">
        <v>123457590</v>
      </c>
      <c r="D803" s="70" t="s">
        <v>851</v>
      </c>
      <c r="E803" s="111" t="s">
        <v>868</v>
      </c>
      <c r="F803" s="66">
        <v>758</v>
      </c>
      <c r="G803" s="67">
        <v>30</v>
      </c>
      <c r="H803" s="67">
        <v>22740</v>
      </c>
      <c r="I803" s="68">
        <v>123456789</v>
      </c>
      <c r="J803" s="69" t="s">
        <v>889</v>
      </c>
    </row>
    <row r="804" spans="1:10" x14ac:dyDescent="0.3">
      <c r="A804" s="62">
        <v>45732</v>
      </c>
      <c r="B804" s="63" t="s">
        <v>1690</v>
      </c>
      <c r="C804" s="64">
        <v>123457591</v>
      </c>
      <c r="D804" s="65" t="s">
        <v>852</v>
      </c>
      <c r="E804" s="53" t="s">
        <v>868</v>
      </c>
      <c r="F804" s="66">
        <v>875</v>
      </c>
      <c r="G804" s="67">
        <v>29</v>
      </c>
      <c r="H804" s="67">
        <v>25375</v>
      </c>
      <c r="I804" s="68">
        <v>123456789</v>
      </c>
      <c r="J804" s="69" t="s">
        <v>887</v>
      </c>
    </row>
    <row r="805" spans="1:10" x14ac:dyDescent="0.3">
      <c r="A805" s="62">
        <v>45733</v>
      </c>
      <c r="B805" s="63" t="s">
        <v>1691</v>
      </c>
      <c r="C805" s="64">
        <v>123457592</v>
      </c>
      <c r="D805" s="70" t="s">
        <v>853</v>
      </c>
      <c r="E805" s="111" t="s">
        <v>868</v>
      </c>
      <c r="F805" s="66">
        <v>605</v>
      </c>
      <c r="G805" s="67">
        <v>21</v>
      </c>
      <c r="H805" s="67">
        <v>12705</v>
      </c>
      <c r="I805" s="68">
        <v>123456789</v>
      </c>
      <c r="J805" s="69" t="s">
        <v>889</v>
      </c>
    </row>
    <row r="806" spans="1:10" x14ac:dyDescent="0.3">
      <c r="A806" s="62">
        <v>45734</v>
      </c>
      <c r="B806" s="63" t="s">
        <v>1692</v>
      </c>
      <c r="C806" s="64">
        <v>123457593</v>
      </c>
      <c r="D806" s="65" t="s">
        <v>854</v>
      </c>
      <c r="E806" s="53" t="s">
        <v>868</v>
      </c>
      <c r="F806" s="66">
        <v>671</v>
      </c>
      <c r="G806" s="67">
        <v>22</v>
      </c>
      <c r="H806" s="67">
        <v>14762</v>
      </c>
      <c r="I806" s="68">
        <v>123456789</v>
      </c>
      <c r="J806" s="69" t="s">
        <v>887</v>
      </c>
    </row>
    <row r="807" spans="1:10" x14ac:dyDescent="0.3">
      <c r="A807" s="62">
        <v>45735</v>
      </c>
      <c r="B807" s="63" t="s">
        <v>1693</v>
      </c>
      <c r="C807" s="64">
        <v>123457594</v>
      </c>
      <c r="D807" s="70" t="s">
        <v>855</v>
      </c>
      <c r="E807" s="111" t="s">
        <v>868</v>
      </c>
      <c r="F807" s="66">
        <v>999</v>
      </c>
      <c r="G807" s="67">
        <v>29</v>
      </c>
      <c r="H807" s="67">
        <v>28971</v>
      </c>
      <c r="I807" s="68">
        <v>123456789</v>
      </c>
      <c r="J807" s="69" t="s">
        <v>887</v>
      </c>
    </row>
    <row r="808" spans="1:10" x14ac:dyDescent="0.3">
      <c r="A808" s="62">
        <v>45736</v>
      </c>
      <c r="B808" s="63" t="s">
        <v>1694</v>
      </c>
      <c r="C808" s="64">
        <v>123457595</v>
      </c>
      <c r="D808" s="65" t="s">
        <v>856</v>
      </c>
      <c r="E808" s="53" t="s">
        <v>868</v>
      </c>
      <c r="F808" s="66">
        <v>949</v>
      </c>
      <c r="G808" s="67">
        <v>24</v>
      </c>
      <c r="H808" s="67">
        <v>22776</v>
      </c>
      <c r="I808" s="68">
        <v>123456789</v>
      </c>
      <c r="J808" s="69" t="s">
        <v>887</v>
      </c>
    </row>
    <row r="809" spans="1:10" x14ac:dyDescent="0.3">
      <c r="A809" s="62">
        <v>45737</v>
      </c>
      <c r="B809" s="63" t="s">
        <v>1695</v>
      </c>
      <c r="C809" s="64">
        <v>123457596</v>
      </c>
      <c r="D809" s="70" t="s">
        <v>857</v>
      </c>
      <c r="E809" s="111" t="s">
        <v>868</v>
      </c>
      <c r="F809" s="66">
        <v>979</v>
      </c>
      <c r="G809" s="67">
        <v>22</v>
      </c>
      <c r="H809" s="67">
        <v>21538</v>
      </c>
      <c r="I809" s="68">
        <v>123456789</v>
      </c>
      <c r="J809" s="69" t="s">
        <v>887</v>
      </c>
    </row>
    <row r="810" spans="1:10" x14ac:dyDescent="0.3">
      <c r="A810" s="62">
        <v>45738</v>
      </c>
      <c r="B810" s="63" t="s">
        <v>1696</v>
      </c>
      <c r="C810" s="64">
        <v>123457597</v>
      </c>
      <c r="D810" s="65" t="s">
        <v>858</v>
      </c>
      <c r="E810" s="53" t="s">
        <v>868</v>
      </c>
      <c r="F810" s="66">
        <v>793</v>
      </c>
      <c r="G810" s="67">
        <v>28</v>
      </c>
      <c r="H810" s="67">
        <v>22204</v>
      </c>
      <c r="I810" s="68">
        <v>123456789</v>
      </c>
      <c r="J810" s="69" t="s">
        <v>889</v>
      </c>
    </row>
    <row r="811" spans="1:10" x14ac:dyDescent="0.3">
      <c r="A811" s="62">
        <v>45739</v>
      </c>
      <c r="B811" s="63" t="s">
        <v>1697</v>
      </c>
      <c r="C811" s="64">
        <v>123457598</v>
      </c>
      <c r="D811" s="70" t="s">
        <v>859</v>
      </c>
      <c r="E811" s="111" t="s">
        <v>869</v>
      </c>
      <c r="F811" s="66">
        <v>967</v>
      </c>
      <c r="G811" s="67">
        <v>27</v>
      </c>
      <c r="H811" s="67">
        <v>26109</v>
      </c>
      <c r="I811" s="68">
        <v>123456789</v>
      </c>
      <c r="J811" s="69" t="s">
        <v>887</v>
      </c>
    </row>
    <row r="812" spans="1:10" x14ac:dyDescent="0.3">
      <c r="A812" s="62">
        <v>45740</v>
      </c>
      <c r="B812" s="63" t="s">
        <v>1698</v>
      </c>
      <c r="C812" s="64">
        <v>123457599</v>
      </c>
      <c r="D812" s="65" t="s">
        <v>860</v>
      </c>
      <c r="E812" s="53" t="s">
        <v>868</v>
      </c>
      <c r="F812" s="66">
        <v>689</v>
      </c>
      <c r="G812" s="67">
        <v>30</v>
      </c>
      <c r="H812" s="67">
        <v>20670</v>
      </c>
      <c r="I812" s="68">
        <v>123456789</v>
      </c>
      <c r="J812" s="69" t="s">
        <v>887</v>
      </c>
    </row>
    <row r="813" spans="1:10" x14ac:dyDescent="0.3">
      <c r="A813" s="62">
        <v>45741</v>
      </c>
      <c r="B813" s="63" t="s">
        <v>1699</v>
      </c>
      <c r="C813" s="64">
        <v>123457600</v>
      </c>
      <c r="D813" s="70" t="s">
        <v>861</v>
      </c>
      <c r="E813" s="111" t="s">
        <v>868</v>
      </c>
      <c r="F813" s="66">
        <v>883</v>
      </c>
      <c r="G813" s="67">
        <v>23</v>
      </c>
      <c r="H813" s="67">
        <v>20309</v>
      </c>
      <c r="I813" s="68">
        <v>123456789</v>
      </c>
      <c r="J813" s="69" t="s">
        <v>889</v>
      </c>
    </row>
    <row r="814" spans="1:10" x14ac:dyDescent="0.3">
      <c r="A814" s="62">
        <v>45742</v>
      </c>
      <c r="B814" s="63" t="s">
        <v>1700</v>
      </c>
      <c r="C814" s="64">
        <v>123457601</v>
      </c>
      <c r="D814" s="65" t="s">
        <v>862</v>
      </c>
      <c r="E814" s="53" t="s">
        <v>868</v>
      </c>
      <c r="F814" s="66">
        <v>687</v>
      </c>
      <c r="G814" s="67">
        <v>24</v>
      </c>
      <c r="H814" s="67">
        <v>16488</v>
      </c>
      <c r="I814" s="68">
        <v>123456789</v>
      </c>
      <c r="J814" s="69" t="s">
        <v>887</v>
      </c>
    </row>
    <row r="815" spans="1:10" x14ac:dyDescent="0.3">
      <c r="A815" s="62">
        <v>45743</v>
      </c>
      <c r="B815" s="63" t="s">
        <v>1701</v>
      </c>
      <c r="C815" s="64">
        <v>123457602</v>
      </c>
      <c r="D815" s="70" t="s">
        <v>863</v>
      </c>
      <c r="E815" s="111" t="s">
        <v>868</v>
      </c>
      <c r="F815" s="66">
        <v>982</v>
      </c>
      <c r="G815" s="67">
        <v>22</v>
      </c>
      <c r="H815" s="67">
        <v>21604</v>
      </c>
      <c r="I815" s="68">
        <v>123456789</v>
      </c>
      <c r="J815" s="69" t="s">
        <v>887</v>
      </c>
    </row>
    <row r="816" spans="1:10" x14ac:dyDescent="0.3">
      <c r="A816" s="62">
        <v>45744</v>
      </c>
      <c r="B816" s="63" t="s">
        <v>1702</v>
      </c>
      <c r="C816" s="64">
        <v>123457603</v>
      </c>
      <c r="D816" s="65" t="s">
        <v>864</v>
      </c>
      <c r="E816" s="53" t="s">
        <v>868</v>
      </c>
      <c r="F816" s="66">
        <v>621</v>
      </c>
      <c r="G816" s="67">
        <v>28</v>
      </c>
      <c r="H816" s="67">
        <v>17388</v>
      </c>
      <c r="I816" s="68">
        <v>123456789</v>
      </c>
      <c r="J816" s="69" t="s">
        <v>887</v>
      </c>
    </row>
    <row r="817" spans="1:10" x14ac:dyDescent="0.3">
      <c r="A817" s="62">
        <v>45745</v>
      </c>
      <c r="B817" s="63" t="s">
        <v>1703</v>
      </c>
      <c r="C817" s="64">
        <v>123457604</v>
      </c>
      <c r="D817" s="70" t="s">
        <v>865</v>
      </c>
      <c r="E817" s="111" t="s">
        <v>869</v>
      </c>
      <c r="F817" s="66">
        <v>963</v>
      </c>
      <c r="G817" s="67">
        <v>27</v>
      </c>
      <c r="H817" s="67">
        <v>26001</v>
      </c>
      <c r="I817" s="68">
        <v>123456789</v>
      </c>
      <c r="J817" s="69" t="s">
        <v>887</v>
      </c>
    </row>
    <row r="818" spans="1:10" x14ac:dyDescent="0.3">
      <c r="A818" s="62">
        <v>45746</v>
      </c>
      <c r="B818" s="63" t="s">
        <v>1704</v>
      </c>
      <c r="C818" s="64">
        <v>123457605</v>
      </c>
      <c r="D818" s="65" t="s">
        <v>866</v>
      </c>
      <c r="E818" s="53" t="s">
        <v>868</v>
      </c>
      <c r="F818" s="66">
        <v>772</v>
      </c>
      <c r="G818" s="67">
        <v>31</v>
      </c>
      <c r="H818" s="67">
        <v>23932</v>
      </c>
      <c r="I818" s="68">
        <v>123456789</v>
      </c>
      <c r="J818" s="69" t="s">
        <v>887</v>
      </c>
    </row>
    <row r="819" spans="1:10" x14ac:dyDescent="0.3">
      <c r="A819" s="62">
        <v>45747</v>
      </c>
      <c r="B819" s="63" t="s">
        <v>1705</v>
      </c>
      <c r="C819" s="64">
        <v>123457606</v>
      </c>
      <c r="D819" s="70" t="s">
        <v>867</v>
      </c>
      <c r="E819" s="111" t="s">
        <v>868</v>
      </c>
      <c r="F819" s="66">
        <v>919</v>
      </c>
      <c r="G819" s="67">
        <v>21</v>
      </c>
      <c r="H819" s="67">
        <v>19299</v>
      </c>
      <c r="I819" s="68">
        <v>123456789</v>
      </c>
      <c r="J819" s="69" t="s">
        <v>889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AD9C-E4B4-4AD6-9B6B-CA9C20CF73F5}">
  <dimension ref="PFZ138820:VZV927018"/>
  <sheetViews>
    <sheetView workbookViewId="0"/>
  </sheetViews>
  <sheetFormatPr defaultRowHeight="14.4" x14ac:dyDescent="0.3"/>
  <sheetData>
    <row r="138820" spans="15570:15570" ht="216" x14ac:dyDescent="0.3">
      <c r="VZV138820" t="s">
        <v>48</v>
      </c>
    </row>
    <row r="927018" spans="10998:10998" ht="302.39999999999998" x14ac:dyDescent="0.3">
      <c r="PFZ92701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336757E1-AB59-43FA-BC48-B130B0DB2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F23700-D23B-4842-835A-E145A5263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4D2388-496A-4519-BDBE-EAE29E20C3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TM03107658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Invoice details</vt:lpstr>
      <vt:lpstr>Monthly Data pivot</vt:lpstr>
      <vt:lpstr>Sheet2</vt:lpstr>
      <vt:lpstr>Sales Data</vt:lpstr>
      <vt:lpstr>Sheet1</vt:lpstr>
      <vt:lpstr>CompanyName</vt:lpstr>
      <vt:lpstr>'Invoice details'!Print_Titles</vt:lpstr>
      <vt:lpstr>'Sales Data'!Print_Titles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2022-11-12T06:16:29Z</dcterms:created>
  <dcterms:modified xsi:type="dcterms:W3CDTF">2025-10-01T06:13:52Z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